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学习资料\大四\毕业论文\MVTec_AD_Thesis\streamlit_mvtec_experiment\05_metadata\"/>
    </mc:Choice>
  </mc:AlternateContent>
  <xr:revisionPtr revIDLastSave="0" documentId="13_ncr:1_{0557A934-BC4C-44DD-8A27-D1C52CA5F27A}" xr6:coauthVersionLast="47" xr6:coauthVersionMax="47" xr10:uidLastSave="{00000000-0000-0000-0000-000000000000}"/>
  <bookViews>
    <workbookView xWindow="-110" yWindow="-110" windowWidth="21820" windowHeight="13900" firstSheet="2" activeTab="3" xr2:uid="{00000000-000D-0000-FFFF-FFFF00000000}"/>
  </bookViews>
  <sheets>
    <sheet name="README" sheetId="1" r:id="rId1"/>
    <sheet name="Codebook" sheetId="2" r:id="rId2"/>
    <sheet name="题库总表" sheetId="3" r:id="rId3"/>
    <sheet name="Exp2_多目标采购" sheetId="4" r:id="rId4"/>
    <sheet name="Practice" sheetId="5" r:id="rId5"/>
  </sheets>
  <definedNames>
    <definedName name="_xlnm._FilterDatabase" localSheetId="3" hidden="1">Exp2_多目标采购!$A$1:$AB$51</definedName>
    <definedName name="_xlnm._FilterDatabase" localSheetId="2" hidden="1">题库总表!$A$1:$S$51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4" l="1"/>
  <c r="S3" i="4" s="1"/>
  <c r="Q4" i="4"/>
  <c r="S4" i="4" s="1"/>
  <c r="Q5" i="4"/>
  <c r="R5" i="4" s="1"/>
  <c r="Q6" i="4"/>
  <c r="S6" i="4" s="1"/>
  <c r="Q7" i="4"/>
  <c r="S7" i="4" s="1"/>
  <c r="Q8" i="4"/>
  <c r="S8" i="4" s="1"/>
  <c r="Q9" i="4"/>
  <c r="R9" i="4" s="1"/>
  <c r="Q10" i="4"/>
  <c r="R10" i="4" s="1"/>
  <c r="Q11" i="4"/>
  <c r="R11" i="4" s="1"/>
  <c r="Q12" i="4"/>
  <c r="R12" i="4" s="1"/>
  <c r="Q13" i="4"/>
  <c r="R13" i="4" s="1"/>
  <c r="Q14" i="4"/>
  <c r="S14" i="4" s="1"/>
  <c r="Q15" i="4"/>
  <c r="R15" i="4" s="1"/>
  <c r="Q16" i="4"/>
  <c r="R16" i="4" s="1"/>
  <c r="Q17" i="4"/>
  <c r="R17" i="4" s="1"/>
  <c r="Q18" i="4"/>
  <c r="S18" i="4" s="1"/>
  <c r="Q19" i="4"/>
  <c r="R19" i="4" s="1"/>
  <c r="Q20" i="4"/>
  <c r="R20" i="4" s="1"/>
  <c r="Q21" i="4"/>
  <c r="S21" i="4" s="1"/>
  <c r="Q22" i="4"/>
  <c r="R22" i="4" s="1"/>
  <c r="Q23" i="4"/>
  <c r="S23" i="4" s="1"/>
  <c r="Q24" i="4"/>
  <c r="S24" i="4" s="1"/>
  <c r="Q25" i="4"/>
  <c r="R25" i="4" s="1"/>
  <c r="Q26" i="4"/>
  <c r="R26" i="4" s="1"/>
  <c r="Q27" i="4"/>
  <c r="R27" i="4" s="1"/>
  <c r="Q28" i="4"/>
  <c r="R28" i="4" s="1"/>
  <c r="Q29" i="4"/>
  <c r="R29" i="4" s="1"/>
  <c r="Q30" i="4"/>
  <c r="S30" i="4" s="1"/>
  <c r="Q31" i="4"/>
  <c r="R31" i="4" s="1"/>
  <c r="Q32" i="4"/>
  <c r="R32" i="4" s="1"/>
  <c r="Q33" i="4"/>
  <c r="R33" i="4" s="1"/>
  <c r="Q34" i="4"/>
  <c r="S34" i="4" s="1"/>
  <c r="Q35" i="4"/>
  <c r="S35" i="4" s="1"/>
  <c r="Q36" i="4"/>
  <c r="S36" i="4" s="1"/>
  <c r="Q37" i="4"/>
  <c r="S37" i="4" s="1"/>
  <c r="Q38" i="4"/>
  <c r="S38" i="4" s="1"/>
  <c r="Q39" i="4"/>
  <c r="S39" i="4" s="1"/>
  <c r="Q40" i="4"/>
  <c r="S40" i="4" s="1"/>
  <c r="Q41" i="4"/>
  <c r="R41" i="4" s="1"/>
  <c r="Q42" i="4"/>
  <c r="R42" i="4" s="1"/>
  <c r="Q43" i="4"/>
  <c r="R43" i="4" s="1"/>
  <c r="Q44" i="4"/>
  <c r="R44" i="4" s="1"/>
  <c r="Q45" i="4"/>
  <c r="R45" i="4" s="1"/>
  <c r="Q46" i="4"/>
  <c r="S46" i="4" s="1"/>
  <c r="Q47" i="4"/>
  <c r="R47" i="4" s="1"/>
  <c r="Q48" i="4"/>
  <c r="R48" i="4" s="1"/>
  <c r="Q49" i="4"/>
  <c r="R49" i="4" s="1"/>
  <c r="Q2" i="4"/>
  <c r="S2" i="4" s="1"/>
  <c r="R8" i="4" l="1"/>
  <c r="R18" i="4"/>
  <c r="R7" i="4"/>
  <c r="R23" i="4"/>
  <c r="R39" i="4"/>
  <c r="R34" i="4"/>
  <c r="R40" i="4"/>
  <c r="R38" i="4"/>
  <c r="S5" i="4"/>
  <c r="R37" i="4"/>
  <c r="R6" i="4"/>
  <c r="R21" i="4"/>
  <c r="R46" i="4"/>
  <c r="S19" i="4"/>
  <c r="R14" i="4"/>
  <c r="S32" i="4"/>
  <c r="S22" i="4"/>
  <c r="R36" i="4"/>
  <c r="S33" i="4"/>
  <c r="R35" i="4"/>
  <c r="S20" i="4"/>
  <c r="R3" i="4"/>
  <c r="R4" i="4"/>
  <c r="R30" i="4"/>
  <c r="S49" i="4"/>
  <c r="S17" i="4"/>
  <c r="R24" i="4"/>
  <c r="S48" i="4"/>
  <c r="S16" i="4"/>
  <c r="S47" i="4"/>
  <c r="S31" i="4"/>
  <c r="S15" i="4"/>
  <c r="S45" i="4"/>
  <c r="S29" i="4"/>
  <c r="S13" i="4"/>
  <c r="S44" i="4"/>
  <c r="S28" i="4"/>
  <c r="S12" i="4"/>
  <c r="S43" i="4"/>
  <c r="S27" i="4"/>
  <c r="S11" i="4"/>
  <c r="S42" i="4"/>
  <c r="S26" i="4"/>
  <c r="S10" i="4"/>
  <c r="S41" i="4"/>
  <c r="S25" i="4"/>
  <c r="S9" i="4"/>
  <c r="R2" i="4"/>
</calcChain>
</file>

<file path=xl/sharedStrings.xml><?xml version="1.0" encoding="utf-8"?>
<sst xmlns="http://schemas.openxmlformats.org/spreadsheetml/2006/main" count="1662" uniqueCount="466">
  <si>
    <t>AI辅助质检实验题库（实验一 + 实验二多目标采购版）</t>
  </si>
  <si>
    <t>使用说明</t>
  </si>
  <si>
    <t>1. 本工作簿包含当前 app 可兼容的实验一题库，以及重构后的实验二多目标采购题库。</t>
  </si>
  <si>
    <t>2. 题库总表 sheet 名为“题库总表”，可直接对应你当前代码里读取的 sheet_name='题库总表'。</t>
  </si>
  <si>
    <t>3. Exp2_多目标采购 为实验二重构版：先看质量分，再综合成本做采购判断。</t>
  </si>
  <si>
    <t>4. 当前图片源路径均为占位路径 TO_FILL_*，需要替换为你本地真实图片文件名。</t>
  </si>
  <si>
    <t>5. Practice 中提供 8 道练习题：实验一 4 道、实验二 4 道，均附反馈文本。</t>
  </si>
  <si>
    <t>实验二隐藏规则（供研究者）</t>
  </si>
  <si>
    <t>题量摘要（自动统计）</t>
  </si>
  <si>
    <t>参数</t>
  </si>
  <si>
    <t>值</t>
  </si>
  <si>
    <t>备注</t>
  </si>
  <si>
    <t>指标</t>
  </si>
  <si>
    <t>公式</t>
  </si>
  <si>
    <t>结果</t>
  </si>
  <si>
    <t>质量权重</t>
  </si>
  <si>
    <t>默认不向被试展示</t>
  </si>
  <si>
    <t>实验一正式题数</t>
  </si>
  <si>
    <t>成本权重</t>
  </si>
  <si>
    <t>实验二正式题数</t>
  </si>
  <si>
    <t>质量门槛</t>
  </si>
  <si>
    <t>低于门槛直接不采购</t>
  </si>
  <si>
    <t>练习题数</t>
  </si>
  <si>
    <t>采购阈值</t>
  </si>
  <si>
    <t>质量过线后比较综合分</t>
  </si>
  <si>
    <t>实验二 correct</t>
  </si>
  <si>
    <t>实验二 incorrect</t>
  </si>
  <si>
    <t>实验二 boundary</t>
  </si>
  <si>
    <t>Codebook（变量字典）</t>
  </si>
  <si>
    <t>变量名</t>
  </si>
  <si>
    <t>所在sheet</t>
  </si>
  <si>
    <t>含义</t>
  </si>
  <si>
    <t>类型/编码</t>
  </si>
  <si>
    <t>说明</t>
  </si>
  <si>
    <t>题号</t>
  </si>
  <si>
    <t>题库总表 / Exp2_多目标采购</t>
  </si>
  <si>
    <t>正式题编号</t>
  </si>
  <si>
    <t>整数</t>
  </si>
  <si>
    <t>实验内部唯一编号</t>
  </si>
  <si>
    <t>图片ID</t>
  </si>
  <si>
    <t>全部</t>
  </si>
  <si>
    <t>图片唯一标识</t>
  </si>
  <si>
    <t>文本</t>
  </si>
  <si>
    <t>建议后续与你真实图片文件名一一对应</t>
  </si>
  <si>
    <t>图片源路径</t>
  </si>
  <si>
    <t>图片相对路径</t>
  </si>
  <si>
    <t>当前为占位路径，需替换</t>
  </si>
  <si>
    <t>产品类别</t>
  </si>
  <si>
    <t>产品大类</t>
  </si>
  <si>
    <t>bottle / capsule / metal_nut</t>
  </si>
  <si>
    <t>与当前 app 结构保持一致</t>
  </si>
  <si>
    <t>复杂度代码</t>
  </si>
  <si>
    <t>题目复杂度</t>
  </si>
  <si>
    <t>low / high</t>
  </si>
  <si>
    <t>便于后续统计</t>
  </si>
  <si>
    <t>真实标签代码</t>
  </si>
  <si>
    <t>题库总表</t>
  </si>
  <si>
    <t>OK/NG 的正确答案</t>
  </si>
  <si>
    <t>1=OK, 0=NG</t>
  </si>
  <si>
    <t>实验一使用</t>
  </si>
  <si>
    <t>AI建议代码</t>
  </si>
  <si>
    <t>AI给出的 OK/NG 建议</t>
  </si>
  <si>
    <t>quality_score</t>
  </si>
  <si>
    <t>Exp2_多目标采购</t>
  </si>
  <si>
    <t>质量得分</t>
  </si>
  <si>
    <t>0-100</t>
  </si>
  <si>
    <t>质量越高越好</t>
  </si>
  <si>
    <t>supplier_price</t>
  </si>
  <si>
    <t>供应商报价</t>
  </si>
  <si>
    <t>数值</t>
  </si>
  <si>
    <t>单位可统一理解为元/件</t>
  </si>
  <si>
    <t>cost_score</t>
  </si>
  <si>
    <t>成本分</t>
  </si>
  <si>
    <t>越便宜分越高；已按类别范围归一化</t>
  </si>
  <si>
    <t>quality_gate</t>
  </si>
  <si>
    <t>固定=60</t>
  </si>
  <si>
    <t>质量未过线则直接不采购</t>
  </si>
  <si>
    <t>weighted_score</t>
  </si>
  <si>
    <t>综合分</t>
  </si>
  <si>
    <t>默认 0.7*质量分 + 0.3*成本分</t>
  </si>
  <si>
    <t>purchase_gt_code</t>
  </si>
  <si>
    <t>采购标准答案</t>
  </si>
  <si>
    <t>1=采购, 0=不采购</t>
  </si>
  <si>
    <t>实验二正式因变量</t>
  </si>
  <si>
    <t>decision_zone</t>
  </si>
  <si>
    <t>题目边界程度</t>
  </si>
  <si>
    <t>clear / boundary</t>
  </si>
  <si>
    <t>boundary 表示更接近阈值</t>
  </si>
  <si>
    <t>suggestion_type</t>
  </si>
  <si>
    <t>AI建议类型</t>
  </si>
  <si>
    <t>correct / incorrect / boundary</t>
  </si>
  <si>
    <t>boundary 用于较高不确定性场景</t>
  </si>
  <si>
    <t>AI是否正确代码</t>
  </si>
  <si>
    <t>AI建议是否正确</t>
  </si>
  <si>
    <t>1=正确, 0=错误</t>
  </si>
  <si>
    <t>ai_correct_code</t>
  </si>
  <si>
    <t>AI建议是否与隐藏标准一致</t>
  </si>
  <si>
    <t>实验二使用</t>
  </si>
  <si>
    <t>产品类别中文</t>
  </si>
  <si>
    <t>缺陷类型</t>
  </si>
  <si>
    <t>复杂度</t>
  </si>
  <si>
    <t>真实标签</t>
  </si>
  <si>
    <t>AI建议</t>
  </si>
  <si>
    <t>AI是否正确</t>
  </si>
  <si>
    <t>实验一-无解释呈现</t>
  </si>
  <si>
    <t>实验一-统一解释内容</t>
  </si>
  <si>
    <t>实验二-指标型解释内容</t>
  </si>
  <si>
    <t>实验二-理由型解释内容</t>
  </si>
  <si>
    <t>ground_truth文件路径</t>
  </si>
  <si>
    <t>BOT_OK_L01</t>
  </si>
  <si>
    <t>bottle</t>
  </si>
  <si>
    <t>瓶子</t>
  </si>
  <si>
    <t>无缺陷</t>
  </si>
  <si>
    <t>低复杂</t>
  </si>
  <si>
    <t>low</t>
  </si>
  <si>
    <t>OK（合格）</t>
  </si>
  <si>
    <t>NG（不合格）</t>
  </si>
  <si>
    <t>错误</t>
  </si>
  <si>
    <t>仅显示AI判定：NG（不合格）</t>
  </si>
  <si>
    <t>系统检测到中心区域存在可疑异常特征，瓶体与正常样本存在差异，综合判断为不合格。</t>
  </si>
  <si>
    <t>系统在局部扫描中发现与正常模板不一致的可疑区域，主要表现为纹理或边缘响应异常，因此输出不合格。该题为误报样本，解释反映的是AI当时的判断依据。</t>
  </si>
  <si>
    <t>（无缺陷，ground_truth不适用）</t>
  </si>
  <si>
    <t>bottle/test/good/003.png</t>
  </si>
  <si>
    <t>BOT_OK_L02</t>
  </si>
  <si>
    <t>正确</t>
  </si>
  <si>
    <t>仅显示AI判定：OK（合格）</t>
  </si>
  <si>
    <t>系统未检测到稳定异常区域，瓶体整体特征处于可接受范围，综合判断为合格。</t>
  </si>
  <si>
    <t>置信度：89%｜异常面积占比：0.00%｜异常像素：0 px｜整体一致性：高｜判定位置：全局扫描</t>
  </si>
  <si>
    <t>系统未检测到稳定且连续的异常区域，瓶体整体轮廓、纹理或表面状态处于可接受波动范围内，因此判定为合格。</t>
  </si>
  <si>
    <t>bottle/test/good/004.png</t>
  </si>
  <si>
    <t>BOT_OK_L03</t>
  </si>
  <si>
    <t>置信度：88%｜异常面积占比：0.00%｜异常像素：0 px｜整体一致性：高｜判定位置：全局扫描</t>
  </si>
  <si>
    <t>bottle/test/good/007.png</t>
  </si>
  <si>
    <t>BOT_OK_L04</t>
  </si>
  <si>
    <t>置信度：85%｜异常面积占比：0.00%｜异常像素：0 px｜整体一致性：高｜判定位置：全局扫描</t>
  </si>
  <si>
    <t>bottle/test/good/001.png</t>
  </si>
  <si>
    <t>BOT_NG_L01</t>
  </si>
  <si>
    <t>污染</t>
  </si>
  <si>
    <t>bottle/test/good/006.png</t>
  </si>
  <si>
    <t>BOT_NG_L02</t>
  </si>
  <si>
    <t>大破损</t>
  </si>
  <si>
    <t>置信度：86%｜异常面积占比：0.00%｜异常像素：0 px｜整体一致性：高｜判定位置：全局扫描</t>
  </si>
  <si>
    <t>bottle/test/good/011.png</t>
  </si>
  <si>
    <t>BOT_NG_L03</t>
  </si>
  <si>
    <t>小破损</t>
  </si>
  <si>
    <t>置信度：65%｜异常面积占比：0.00%｜异常像素：0 px｜主异常位置：中心区域｜异常显著性：低</t>
  </si>
  <si>
    <t>bottle/test/good/012.png</t>
  </si>
  <si>
    <t>BOT_NG_L04</t>
  </si>
  <si>
    <t>置信度：91%｜异常面积占比：0.00%｜异常像素：0 px｜整体一致性：高｜判定位置：全局扫描</t>
  </si>
  <si>
    <t>bottle/test/good/002.png</t>
  </si>
  <si>
    <t>BOT_OK_H01</t>
  </si>
  <si>
    <t>高复杂</t>
  </si>
  <si>
    <t>high</t>
  </si>
  <si>
    <t>BOT_OK_H02</t>
  </si>
  <si>
    <t>BOT_OK_H03</t>
  </si>
  <si>
    <t>BOT_OK_H04</t>
  </si>
  <si>
    <t>BOT_NG_H01</t>
  </si>
  <si>
    <t>系统检测到右侧存在可疑异常特征，瓶体与正常样本存在差异，综合判断为不合格。</t>
  </si>
  <si>
    <t>bottle/test/contamination/019.png</t>
  </si>
  <si>
    <t>BOT_NG_H02</t>
  </si>
  <si>
    <t>D:\学习资料\大四\毕业论文\MVTec_AD_Thesis\00_raw\bottle\ground_truth\broken_small\000_mask.png</t>
  </si>
  <si>
    <t>bottle/test/broken_small/000.png</t>
  </si>
  <si>
    <t>BOT_NG_H03</t>
  </si>
  <si>
    <t>系统在中心区域检测到污染/附着异常，瓶体与正常模板相比存在可分辨差异，异常区域约占图像13.78%。综合异常位置、面积与形态特征，判定为不合格。</t>
  </si>
  <si>
    <t>bottle/test/contamination/009.png</t>
  </si>
  <si>
    <t>BOT_NG_H04</t>
  </si>
  <si>
    <t>bottle/test/broken_small/014.png</t>
  </si>
  <si>
    <t>CAP_OK_L01</t>
  </si>
  <si>
    <t>capsule</t>
  </si>
  <si>
    <t>胶囊</t>
  </si>
  <si>
    <t>系统检测到中心区域存在可疑异常特征，胶囊表面与正常样本存在差异，综合判断为不合格。</t>
  </si>
  <si>
    <t>capsule/test/good/001.png</t>
  </si>
  <si>
    <t>CAP_OK_L02</t>
  </si>
  <si>
    <t>系统未检测到稳定异常区域，胶囊表面整体特征处于可接受范围，综合判断为合格。</t>
  </si>
  <si>
    <t>系统未检测到稳定且连续的异常区域，胶囊表面整体轮廓、纹理或表面状态处于可接受波动范围内，因此判定为合格。</t>
  </si>
  <si>
    <t>capsule/test/good/006.png</t>
  </si>
  <si>
    <t>CAP_OK_L03</t>
  </si>
  <si>
    <t>capsule/test/good/007.png</t>
  </si>
  <si>
    <t>CAP_OK_L04</t>
  </si>
  <si>
    <t>capsule/test/good/020.png</t>
  </si>
  <si>
    <t>CAP_NG_L01</t>
  </si>
  <si>
    <t>裂缝</t>
  </si>
  <si>
    <t>系统检测到左侧存在可疑异常特征，胶囊表面与正常样本存在差异，综合判断为不合格。</t>
  </si>
  <si>
    <t>置信度：90%｜异常面积占比：2.33%｜异常像素：23,268 px｜主异常位置：左侧｜异常显著性：中</t>
  </si>
  <si>
    <t>系统在左侧检测到裂缝，胶囊表面与正常模板相比存在可分辨差异，异常区域约占图像2.33%。综合异常位置、面积与形态特征，判定为不合格。</t>
  </si>
  <si>
    <t>D:\学习资料\大四\毕业论文\MVTec_AD_Thesis\00_raw\capsule\ground_truth\crack\001_mask.png</t>
  </si>
  <si>
    <t>capsule/test/crack/001.png</t>
  </si>
  <si>
    <t>CAP_NG_L02</t>
  </si>
  <si>
    <t>置信度：89%｜异常面积占比：1.80%｜异常像素：17,974 px｜主异常位置：中心区域｜异常显著性：中</t>
  </si>
  <si>
    <t>系统在中心区域检测到裂缝，胶囊表面与正常模板相比存在可分辨差异，异常区域约占图像1.80%。综合异常位置、面积与形态特征，判定为不合格。</t>
  </si>
  <si>
    <t>D:\学习资料\大四\毕业论文\MVTec_AD_Thesis\00_raw\capsule\ground_truth\crack\010_mask.png</t>
  </si>
  <si>
    <t>capsule/test/crack/010.png</t>
  </si>
  <si>
    <t>CAP_NG_L03</t>
  </si>
  <si>
    <t>挤压变形</t>
  </si>
  <si>
    <t>D:\学习资料\大四\毕业论文\MVTec_AD_Thesis\00_raw\capsule\ground_truth\squeeze\007_mask.png</t>
  </si>
  <si>
    <t>capsule/test/squeeze/007.png</t>
  </si>
  <si>
    <t>CAP_NG_L04</t>
  </si>
  <si>
    <t>针孔</t>
  </si>
  <si>
    <t>系统检测到右侧存在可疑异常特征，胶囊表面与正常样本存在差异，综合判断为不合格。</t>
  </si>
  <si>
    <t>置信度：89%｜异常面积占比：1.23%｜异常像素：12,289 px｜主异常位置：右侧｜异常显著性：中</t>
  </si>
  <si>
    <t>系统在右侧检测到针孔，胶囊表面与正常模板相比存在可分辨差异，异常区域约占图像1.23%。综合异常位置、面积与形态特征，判定为不合格。</t>
  </si>
  <si>
    <t>D:\学习资料\大四\毕业论文\MVTec_AD_Thesis\00_raw\capsule\ground_truth\poke\000_mask.png</t>
  </si>
  <si>
    <t>capsule/test/poke/000.png</t>
  </si>
  <si>
    <t>CAP_OK_H01</t>
  </si>
  <si>
    <t>capsule/test/good/002.png</t>
  </si>
  <si>
    <t>CAP_OK_H02</t>
  </si>
  <si>
    <t>capsule/test/good/005.png</t>
  </si>
  <si>
    <t>CAP_OK_H03</t>
  </si>
  <si>
    <t>capsule/test/good/012.png</t>
  </si>
  <si>
    <t>CAP_OK_H04</t>
  </si>
  <si>
    <t>置信度：90%｜异常面积占比：0.00%｜异常像素：0 px｜整体一致性：高｜判定位置：全局扫描</t>
  </si>
  <si>
    <t>capsule/test/good/014.png</t>
  </si>
  <si>
    <t>CAP_NG_H01</t>
  </si>
  <si>
    <t>置信度：87%｜异常面积占比：0.16%｜异常像素：1,607 px｜主异常位置：中心区域｜异常显著性：低</t>
  </si>
  <si>
    <t>系统在中心区域检测到针孔，胶囊表面与正常模板相比存在可分辨差异，异常区域约占图像0.16%。综合异常位置、面积与形态特征，判定为不合格。</t>
  </si>
  <si>
    <t>D:\学习资料\大四\毕业论文\MVTec_AD_Thesis\00_raw\capsule\ground_truth\poke\006_mask.png</t>
  </si>
  <si>
    <t>capsule/test/poke/006.png</t>
  </si>
  <si>
    <t>CAP_NG_H02</t>
  </si>
  <si>
    <t>置信度：86%｜异常面积占比：0.29%｜异常像素：2,906 px｜主异常位置：右侧｜异常显著性：低</t>
  </si>
  <si>
    <t>系统在右侧检测到针孔，胶囊表面与正常模板相比存在可分辨差异，异常区域约占图像0.29%。综合异常位置、面积与形态特征，判定为不合格。</t>
  </si>
  <si>
    <t>D:\学习资料\大四\毕业论文\MVTec_AD_Thesis\00_raw\capsule\ground_truth\poke\012_mask.png</t>
  </si>
  <si>
    <t>capsule/test/poke/012.png</t>
  </si>
  <si>
    <t>CAP_NG_H03</t>
  </si>
  <si>
    <t>划痕</t>
  </si>
  <si>
    <t>D:\学习资料\大四\毕业论文\MVTec_AD_Thesis\00_raw\capsule\ground_truth\scratch\002_mask.png</t>
  </si>
  <si>
    <t>capsule/test/scratch/002.png</t>
  </si>
  <si>
    <t>CAP_NG_H04</t>
  </si>
  <si>
    <t>置信度：86%｜异常面积占比：0.30%｜异常像素：2,965 px｜主异常位置：中心区域｜异常显著性：低</t>
  </si>
  <si>
    <t>系统在中心区域检测到划痕，胶囊表面与正常模板相比存在可分辨差异，异常区域约占图像0.30%。综合异常位置、面积与形态特征，判定为不合格。</t>
  </si>
  <si>
    <t>D:\学习资料\大四\毕业论文\MVTec_AD_Thesis\00_raw\capsule\ground_truth\scratch\005_mask.png</t>
  </si>
  <si>
    <t>capsule/test/scratch/005.png</t>
  </si>
  <si>
    <t>MET_OK_L01</t>
  </si>
  <si>
    <t>metal_nut</t>
  </si>
  <si>
    <t>金属螺母</t>
  </si>
  <si>
    <t>系统未检测到稳定异常区域，螺母表面与边缘整体特征处于可接受范围，综合判断为合格。</t>
  </si>
  <si>
    <t>系统未检测到稳定且连续的异常区域，螺母表面与边缘整体轮廓、纹理或表面状态处于可接受波动范围内，因此判定为合格。</t>
  </si>
  <si>
    <t>metal_nut/test/good/004.png</t>
  </si>
  <si>
    <t>MET_OK_L02</t>
  </si>
  <si>
    <t>系统检测到中心区域存在可疑异常特征，螺母表面与边缘与正常样本存在差异，综合判断为不合格。</t>
  </si>
  <si>
    <t>metal_nut/test/good/009.png</t>
  </si>
  <si>
    <t>MET_OK_L03</t>
  </si>
  <si>
    <t>metal_nut/test/good/016.png</t>
  </si>
  <si>
    <t>MET_OK_L04</t>
  </si>
  <si>
    <t>metal_nut/test/good/020.png</t>
  </si>
  <si>
    <t>MET_NG_L01</t>
  </si>
  <si>
    <t>弯曲</t>
  </si>
  <si>
    <t>系统检测到上部存在可疑异常特征，螺母表面与边缘与正常样本存在差异，综合判断为不合格。</t>
  </si>
  <si>
    <t>置信度：94%｜异常面积占比：4.70%｜异常像素：23,025 px｜主异常位置：上部｜异常显著性：高</t>
  </si>
  <si>
    <t>系统在上部检测到弯曲变形，螺母表面与边缘与正常模板相比存在可分辨差异，异常区域约占图像4.70%。综合异常位置、面积与形态特征，判定为不合格。</t>
  </si>
  <si>
    <t>D:\学习资料\大四\毕业论文\MVTec_AD_Thesis\00_raw\metal_nut\ground_truth\bent\000_mask.png</t>
  </si>
  <si>
    <t>metal_nut/test/bent/000.png</t>
  </si>
  <si>
    <t>MET_NG_L02</t>
  </si>
  <si>
    <t>色差</t>
  </si>
  <si>
    <t>系统检测到右侧存在可疑异常特征，螺母表面与边缘与正常样本存在差异，综合判断为不合格。</t>
  </si>
  <si>
    <t>置信度：90%｜异常面积占比：2.28%｜异常像素：11,183 px｜主异常位置：右侧｜异常显著性：中</t>
  </si>
  <si>
    <t>系统在右侧检测到局部色差，螺母表面与边缘与正常模板相比存在可分辨差异，异常区域约占图像2.28%。综合异常位置、面积与形态特征，判定为不合格。</t>
  </si>
  <si>
    <t>D:\学习资料\大四\毕业论文\MVTec_AD_Thesis\00_raw\metal_nut\ground_truth\color\019_mask.png</t>
  </si>
  <si>
    <t>metal_nut/test/color/019.png</t>
  </si>
  <si>
    <t>MET_NG_L03</t>
  </si>
  <si>
    <t>D:\学习资料\大四\毕业论文\MVTec_AD_Thesis\00_raw\metal_nut\ground_truth\color\011_mask.png</t>
  </si>
  <si>
    <t>metal_nut/test/color/011.png</t>
  </si>
  <si>
    <t>MET_NG_L04</t>
  </si>
  <si>
    <t>系统检测到上部右侧存在可疑异常特征，螺母表面与边缘与正常样本存在差异，综合判断为不合格。</t>
  </si>
  <si>
    <t>系统在上部右侧检测到局部色差，螺母表面与边缘与正常模板相比存在可分辨差异，异常区域约占图像6.57%。综合异常位置、面积与形态特征，判定为不合格。</t>
  </si>
  <si>
    <t>D:\学习资料\大四\毕业论文\MVTec_AD_Thesis\00_raw\metal_nut\ground_truth\color\012_mask.png</t>
  </si>
  <si>
    <t>metal_nut/test/color/012.png</t>
  </si>
  <si>
    <t>MET_OK_H01</t>
  </si>
  <si>
    <t>系统检测到下部左侧存在可疑异常特征，螺母表面与边缘与正常样本存在差异，综合判断为不合格。</t>
  </si>
  <si>
    <t>系统在下部左侧检测到弯曲变形，螺母表面与边缘与正常模板相比存在可分辨差异，异常区域约占图像2.01%。综合异常位置、面积与形态特征，判定为不合格。</t>
  </si>
  <si>
    <t>D:\学习资料\大四\毕业论文\MVTec_AD_Thesis\00_raw\metal_nut\ground_truth\bent\021_mask.png</t>
  </si>
  <si>
    <t>metal_nut/test/bent/021.png</t>
  </si>
  <si>
    <t>MET_OK_H02</t>
  </si>
  <si>
    <t>系统检测到下部存在可疑异常特征，螺母表面与边缘与正常样本存在差异，综合判断为不合格。</t>
  </si>
  <si>
    <t>置信度：96%｜异常面积占比：7.37%｜异常像素：36,121 px｜主异常位置：下部｜异常显著性：高</t>
  </si>
  <si>
    <t>系统在下部检测到划痕，螺母表面与边缘与正常模板相比存在可分辨差异，异常区域约占图像7.37%。综合异常位置、面积与形态特征，判定为不合格。</t>
  </si>
  <si>
    <t>D:\学习资料\大四\毕业论文\MVTec_AD_Thesis\00_raw\metal_nut\ground_truth\scratch\022_mask.png</t>
  </si>
  <si>
    <t>metal_nut/test/scratch/022.png</t>
  </si>
  <si>
    <t>MET_OK_H03</t>
  </si>
  <si>
    <t>D:\学习资料\大四\毕业论文\MVTec_AD_Thesis\00_raw\metal_nut\ground_truth\bent\014_mask.png</t>
  </si>
  <si>
    <t>metal_nut/test/bent/014.png</t>
  </si>
  <si>
    <t>MET_OK_H04</t>
  </si>
  <si>
    <t>翻转</t>
  </si>
  <si>
    <t>置信度：97%｜异常面积占比：48.16%｜异常像素：235,963 px｜主异常位置：中心区域｜异常显著性：高</t>
  </si>
  <si>
    <t>系统在中心区域检测到朝向异常，螺母表面与边缘与正常模板相比存在可分辨差异，异常区域约占图像48.16%。综合异常位置、面积与形态特征，判定为不合格。</t>
  </si>
  <si>
    <t>D:\学习资料\大四\毕业论文\MVTec_AD_Thesis\00_raw\metal_nut\ground_truth\flip\022_mask.png</t>
  </si>
  <si>
    <t>metal_nut/test/flip/022.png</t>
  </si>
  <si>
    <t>MET_NG_H01</t>
  </si>
  <si>
    <t>MET_NG_H02</t>
  </si>
  <si>
    <t>MET_NG_H03</t>
  </si>
  <si>
    <t>MET_NG_H04</t>
  </si>
  <si>
    <t>quality_weight</t>
  </si>
  <si>
    <t>cost_weight</t>
  </si>
  <si>
    <t>purchase_threshold</t>
  </si>
  <si>
    <t>gate_pass_code</t>
  </si>
  <si>
    <t>purchase_gt_label</t>
  </si>
  <si>
    <t>ai_suggestion_code</t>
  </si>
  <si>
    <t>ai_suggestion_label</t>
  </si>
  <si>
    <t>ai_correct_label</t>
  </si>
  <si>
    <t>采购</t>
  </si>
  <si>
    <t>clear</t>
  </si>
  <si>
    <t>correct</t>
  </si>
  <si>
    <t>质量分=92；成本分=90.0；质量门槛=60；综合分=91.4。AI 建议：采购。</t>
  </si>
  <si>
    <t>该瓶子存在“无缺陷”相关质量表现，结合供应价格 7.6 元/件进行综合评估。在质量达到基本要求后，整体采购价值较高。</t>
  </si>
  <si>
    <t>清晰题</t>
  </si>
  <si>
    <t>质量分=85；成本分=80.0；质量门槛=60；综合分=83.5。AI 建议：采购。</t>
  </si>
  <si>
    <t>该瓶子存在“无缺陷”相关质量表现，结合供应价格 9.2 元/件进行综合评估。在质量达到基本要求后，整体采购价值较高。</t>
  </si>
  <si>
    <t>boundary</t>
  </si>
  <si>
    <t>质量分=78；成本分=75.0；质量门槛=60；综合分=77.1。AI 建议：采购。</t>
  </si>
  <si>
    <t>该瓶子存在“小破损”相关质量表现，结合供应价格 10.0 元/件进行综合评估。在质量达到基本要求后，整体采购价值较高。</t>
  </si>
  <si>
    <t>边界题：接近质量门槛或采购阈值，可用于较高不确定性场景</t>
  </si>
  <si>
    <t>不采购</t>
  </si>
  <si>
    <t>质量分=72；成本分=65.0；质量门槛=60；综合分=69.9。AI 建议：不采购。</t>
  </si>
  <si>
    <t>该瓶子存在“污染”相关质量表现，结合供应价格 11.6 元/件进行综合评估。其质量或成本条件不足以支持采购。</t>
  </si>
  <si>
    <t>质量分=66；成本分=45.0；质量门槛=60；综合分=59.7。AI 建议：不采购。</t>
  </si>
  <si>
    <t>该瓶子存在“大破损”相关质量表现，结合供应价格 14.8 元/件进行综合评估。其质量或成本条件不足以支持采购。</t>
  </si>
  <si>
    <t>质量分=52；成本分=55.0；质量门槛=60；综合分=52.9。AI 建议：不采购。</t>
  </si>
  <si>
    <t>质量分=44；成本分=30.0；质量门槛=60；综合分=39.8。AI 建议：不采购。</t>
  </si>
  <si>
    <t>该瓶子存在“大破损”相关质量表现，结合供应价格 17.2 元/件进行综合评估。其质量或成本条件不足以支持采购。</t>
  </si>
  <si>
    <t>质量分=83；成本分=80.0；质量门槛=60；综合分=82.1。AI 建议：采购。</t>
  </si>
  <si>
    <t>质量分=76；成本分=65.0；质量门槛=60；综合分=72.7。AI 建议：不采购。</t>
  </si>
  <si>
    <t>该瓶子存在“大破损”相关质量表现，结合供应价格 11.6 元/件进行综合评估。其质量或成本条件不足以支持采购。</t>
  </si>
  <si>
    <t>质量分=71；成本分=55.0；质量门槛=60；综合分=66.2。AI 建议：不采购。</t>
  </si>
  <si>
    <t>该瓶子存在“小破损”相关质量表现，结合供应价格 13.2 元/件进行综合评估。其质量或成本条件不足以支持采购。</t>
  </si>
  <si>
    <t>质量分=68；成本分=41.9；质量门槛=60；综合分=60.2。AI 建议：不采购。</t>
  </si>
  <si>
    <t>该瓶子存在“污染”相关质量表现，结合供应价格 15.3 元/件进行综合评估。其质量或成本条件不足以支持采购。</t>
  </si>
  <si>
    <t>质量分=63；成本分=30.0；质量门槛=60；综合分=53.1。AI 建议：采购。</t>
  </si>
  <si>
    <t>质量分=61；成本分=21.9；质量门槛=60；综合分=49.3。AI 建议：不采购。</t>
  </si>
  <si>
    <t>该瓶子存在“小破损”相关质量表现，结合供应价格 18.5 元/件进行综合评估。其质量或成本条件不足以支持采购。</t>
  </si>
  <si>
    <t>质量分=57；成本分=70.0；质量门槛=60；综合分=60.9。AI 建议：采购。</t>
  </si>
  <si>
    <t>该瓶子存在“污染”相关质量表现，结合供应价格 10.8 元/件进行综合评估。在质量达到基本要求后，整体采购价值较高。</t>
  </si>
  <si>
    <t>质量分=54；成本分=50.0；质量门槛=60；综合分=52.8。AI 建议：不采购。</t>
  </si>
  <si>
    <t>该瓶子存在“大破损”相关质量表现，结合供应价格 14.0 元/件进行综合评估。其质量或成本条件不足以支持采购。</t>
  </si>
  <si>
    <t>该胶囊存在“无缺陷”相关质量表现，结合供应价格 9.8 元/件进行综合评估。在质量达到基本要求后，整体采购价值较高。</t>
  </si>
  <si>
    <t>该胶囊存在“无缺陷”相关质量表现，结合供应价格 11.6 元/件进行综合评估。在质量达到基本要求后，整体采购价值较高。</t>
  </si>
  <si>
    <t>该胶囊存在“压痕”相关质量表现，结合供应价格 12.5 元/件进行综合评估。在质量达到基本要求后，整体采购价值较高。</t>
  </si>
  <si>
    <t>该胶囊存在“划痕”相关质量表现，结合供应价格 14.3 元/件进行综合评估。其质量或成本条件不足以支持采购。</t>
  </si>
  <si>
    <t>该胶囊存在“压痕”相关质量表现，结合供应价格 16.1 元/件进行综合评估。其质量或成本条件不足以支持采购。</t>
  </si>
  <si>
    <t>该胶囊存在“划痕”相关质量表现，结合供应价格 20.6 元/件进行综合评估。其质量或成本条件不足以支持采购。</t>
  </si>
  <si>
    <t>该胶囊存在“渗漏”相关质量表现，结合供应价格 14.3 元/件进行综合评估。其质量或成本条件不足以支持采购。</t>
  </si>
  <si>
    <t>质量分=68；成本分=42.2；质量门槛=60；综合分=60.3。AI 建议：不采购。</t>
  </si>
  <si>
    <t>该胶囊存在“划痕”相关质量表现，结合供应价格 18.4 元/件进行综合评估。其质量或成本条件不足以支持采购。</t>
  </si>
  <si>
    <t>该胶囊存在“裂缝”相关质量表现，结合供应价格 20.6 元/件进行综合评估。在质量达到基本要求后，整体采购价值较高。</t>
  </si>
  <si>
    <t>质量分=61；成本分=22.2；质量门槛=60；综合分=49.4。AI 建议：不采购。</t>
  </si>
  <si>
    <t>该胶囊存在“渗漏”相关质量表现，结合供应价格 22.0 元/件进行综合评估。其质量或成本条件不足以支持采购。</t>
  </si>
  <si>
    <t>该胶囊存在“压痕”相关质量表现，结合供应价格 13.4 元/件进行综合评估。在质量达到基本要求后，整体采购价值较高。</t>
  </si>
  <si>
    <t>该胶囊存在“划痕”相关质量表现，结合供应价格 17.0 元/件进行综合评估。其质量或成本条件不足以支持采购。</t>
  </si>
  <si>
    <t>该金属螺母存在“无缺陷”相关质量表现，结合供应价格 6.3 元/件进行综合评估。在质量达到基本要求后，整体采购价值较高。</t>
  </si>
  <si>
    <t>该金属螺母存在“无缺陷”相关质量表现，结合供应价格 7.6 元/件进行综合评估。在质量达到基本要求后，整体采购价值较高。</t>
  </si>
  <si>
    <t>incorrect</t>
  </si>
  <si>
    <t>一般边界题</t>
  </si>
  <si>
    <t>质量分=72；成本分=64.6；质量门槛=60；综合分=69.8。AI 建议：不采购。</t>
  </si>
  <si>
    <t>该金属螺母存在“划痕”相关质量表现，结合供应价格 9.6 元/件进行综合评估。其质量或成本条件不足以支持采购。</t>
  </si>
  <si>
    <t>质量分=66；成本分=44.6；质量门槛=60；综合分=59.6。AI 建议：不采购。</t>
  </si>
  <si>
    <t>质量分=52；成本分=54.6；质量门槛=60；综合分=52.8。AI 建议：不采购。</t>
  </si>
  <si>
    <t>该金属螺母存在“翻转”相关质量表现，结合供应价格 10.9 元/件进行综合评估。其质量或成本条件不足以支持采购。</t>
  </si>
  <si>
    <t>该金属螺母存在“划痕”相关质量表现，结合供应价格 14.1 元/件进行综合评估。其质量或成本条件不足以支持采购。</t>
  </si>
  <si>
    <t>质量分=83；成本分=80.0；质量门槛=60；综合分=82.1。AI 建议：不采购。</t>
  </si>
  <si>
    <t>质量分=61；成本分=22.3；质量门槛=60；综合分=49.4。AI 建议：采购。</t>
  </si>
  <si>
    <t>该金属螺母存在“颜色异常”相关质量表现，结合供应价格 15.1 元/件进行综合评估。在质量达到基本要求后，整体采购价值较高。</t>
  </si>
  <si>
    <t>该金属螺母存在“翻转”相关质量表现，结合供应价格 8.9 元/件进行综合评估。在质量达到基本要求后，整体采购价值较高。</t>
  </si>
  <si>
    <t>质量分=54；成本分=50.0；质量门槛=60；综合分=52.8。AI 建议：采购。</t>
  </si>
  <si>
    <t>该金属螺母存在“划痕”相关质量表现，结合供应价格 11.5 元/件进行综合评估。在质量达到基本要求后，整体采购价值较高。</t>
  </si>
  <si>
    <t>练习题（实验一 4 道 + 实验二 4 道）</t>
  </si>
  <si>
    <t>练习题号</t>
  </si>
  <si>
    <t>适用实验</t>
  </si>
  <si>
    <t>任务类型</t>
  </si>
  <si>
    <t>标准答案</t>
  </si>
  <si>
    <t>标准答案代码</t>
  </si>
  <si>
    <t>反馈文本</t>
  </si>
  <si>
    <t>实验一</t>
  </si>
  <si>
    <t>practice/1_001.png</t>
  </si>
  <si>
    <t>OK/NG判断</t>
  </si>
  <si>
    <t>正确答案：OK（合格）。AI 认为该瓶子为 OK（合格），依据是图像中未见明显异常，产品外观与标准样本一致。</t>
  </si>
  <si>
    <t>练习题结束后建议向被试展示此反馈</t>
  </si>
  <si>
    <t>practice/1_002.png</t>
  </si>
  <si>
    <t>practice/1_003.png</t>
  </si>
  <si>
    <t>正确答案：OK（合格）。AI 认为该胶囊为 OK（合格），依据是图像中未见明显异常，产品外观与标准样本一致。</t>
  </si>
  <si>
    <t>practice/1_004.png</t>
  </si>
  <si>
    <t>实验二</t>
  </si>
  <si>
    <t>BOT_BUY_L01</t>
  </si>
  <si>
    <t>practice/2_001.png</t>
  </si>
  <si>
    <t>采购判断</t>
  </si>
  <si>
    <t>标准答案：采购。质量分=92，成本分=90.0，综合分=91.4。先检查质量是否过线，再综合考虑成本。</t>
  </si>
  <si>
    <t>BOT_BUY_L08</t>
  </si>
  <si>
    <t>practice/2_002.png</t>
  </si>
  <si>
    <t>标准答案：不采购。质量分=44，成本分=30.0，综合分=39.8。先检查质量是否过线，再综合考虑成本。</t>
  </si>
  <si>
    <t>CAP_BUY_L05</t>
  </si>
  <si>
    <t>practice/2_003.png</t>
  </si>
  <si>
    <t>标准答案：不采购。质量分=66，成本分=45.0，综合分=59.7。先检查质量是否过线，再综合考虑成本。</t>
  </si>
  <si>
    <t>MET_BUY_L04</t>
  </si>
  <si>
    <t>practice/2_004.png</t>
  </si>
  <si>
    <t>正确答案：NG（不合格）。AI 认为该瓶子为 NG（不合格），依据是图像中可见明显异常，产品外观有污染缺陷，与标准样本不一致。</t>
    <phoneticPr fontId="1" type="noConversion"/>
  </si>
  <si>
    <t>置信度：90%｜异常面积占比：0.00%｜异常像素：0 px｜整体一致性：高｜判定位置：全局扫描</t>
    <phoneticPr fontId="1" type="noConversion"/>
  </si>
  <si>
    <t>置信度：65%｜异常面积占比：37%｜异常像素：3467 px｜主异常位置：中心区域｜异常显著性：低</t>
    <phoneticPr fontId="1" type="noConversion"/>
  </si>
  <si>
    <t>置信度：64%｜异常面积占比：23%｜异常像素：2332 px｜主异常位置：中心区域｜异常显著性：低</t>
    <phoneticPr fontId="1" type="noConversion"/>
  </si>
  <si>
    <t>bottle\test\broken_large\006.png</t>
    <phoneticPr fontId="1" type="noConversion"/>
  </si>
  <si>
    <t>置信度：92%｜异常面积占比：34.33%｜异常像素：27,013 px｜主异常位置：左上侧｜异常显著性：高</t>
    <phoneticPr fontId="1" type="noConversion"/>
  </si>
  <si>
    <t>bottle\test\broken_large\018.png</t>
    <phoneticPr fontId="1" type="noConversion"/>
  </si>
  <si>
    <t>系统在中心区域检测到污染/附着异常，瓶体与正常模板相比存在可分辨差异，异常区域约占图像45.69%。综合异常位置、面积与形态特征，判定为不合格。</t>
    <phoneticPr fontId="1" type="noConversion"/>
  </si>
  <si>
    <t>系统在左上侧检测到破损，瓶体与正常模板相比存在可分辨差异，异常区域约占图像34.33%。综合异常位置、面积与形态特征，判定为不合格。</t>
    <phoneticPr fontId="1" type="noConversion"/>
  </si>
  <si>
    <t>系统在左侧检测到破损，瓶体与正常模板相比存在可分辨差异，异常区域约占图像56.78%。综合异常位置、面积与形态特征，判定为不合格。</t>
    <phoneticPr fontId="1" type="noConversion"/>
  </si>
  <si>
    <t>bottle\test\contamination\005.png</t>
    <phoneticPr fontId="1" type="noConversion"/>
  </si>
  <si>
    <t>bottle\test\contamination\011.png</t>
    <phoneticPr fontId="1" type="noConversion"/>
  </si>
  <si>
    <t>系统检测到左上侧存在破损，瓶体与正常样本存在差异，综合判断为不合格。</t>
    <phoneticPr fontId="1" type="noConversion"/>
  </si>
  <si>
    <t>系统检测到左侧存在破损，瓶体与正常样本存在差异，综合判断为不合格。</t>
    <phoneticPr fontId="1" type="noConversion"/>
  </si>
  <si>
    <t>置信度：59%｜异常面积占比：0.88%｜异常像素：0 px｜整体一致性：中｜判定位置：全局扫描</t>
    <phoneticPr fontId="1" type="noConversion"/>
  </si>
  <si>
    <t>置信度：92%｜异常面积占比：56.78%｜异常像素：6,788 px｜主异常位置：左侧｜异常显著性：高</t>
    <phoneticPr fontId="1" type="noConversion"/>
  </si>
  <si>
    <t>置信度：65%｜异常面积占比：45.69%｜异常像素：5,213 px｜主异常位置：中心区域｜异常显著性：高</t>
    <phoneticPr fontId="1" type="noConversion"/>
  </si>
  <si>
    <t>D:\学习资料\大四\毕业论文\MVTec_AD_Thesis\00_raw\bottle\ground_truth\broken_large\006_mask.png</t>
    <phoneticPr fontId="1" type="noConversion"/>
  </si>
  <si>
    <t>D:\学习资料\大四\毕业论文\MVTec_AD_Thesis\00_raw\bottle\ground_truth\broken_large\018_mask.png</t>
    <phoneticPr fontId="1" type="noConversion"/>
  </si>
  <si>
    <t>D:\学习资料\大四\毕业论文\MVTec_AD_Thesis\00_raw\bottle\ground_truth\contamination\005_mask.png</t>
    <phoneticPr fontId="1" type="noConversion"/>
  </si>
  <si>
    <t>D:\学习资料\大四\毕业论文\MVTec_AD_Thesis\00_raw\bottle\ground_truth\contamination\011_mask.png</t>
    <phoneticPr fontId="1" type="noConversion"/>
  </si>
  <si>
    <t>D:\学习资料\大四\毕业论文\MVTec_AD_Thesis\00_raw\bottle\ground_truth\contamination\009_mask.png</t>
    <phoneticPr fontId="1" type="noConversion"/>
  </si>
  <si>
    <t>D:\学习资料\大四\毕业论文\MVTec_AD_Thesis\00_raw\bottle\ground_truth\contamination\019_mask.png</t>
    <phoneticPr fontId="1" type="noConversion"/>
  </si>
  <si>
    <t>D:\学习资料\大四\毕业论文\MVTec_AD_Thesis\00_raw\bottle\ground_truth\broken_small\014_mask.png</t>
    <phoneticPr fontId="1" type="noConversion"/>
  </si>
  <si>
    <t>置信度：96%｜异常面积占比：73.78%｜异常像素：11,640 px｜主异常位置：中心区域｜异常显著性：高</t>
    <phoneticPr fontId="1" type="noConversion"/>
  </si>
  <si>
    <t>系统在左下检测到破损，瓶体与正常模板相比存在可分辨差异，异常区域约占图像7.33%。综合异常位置、面积与形态特征，判定为不合格。</t>
    <phoneticPr fontId="1" type="noConversion"/>
  </si>
  <si>
    <t>置信度：92%｜异常面积占比：7.33%｜异常像素：27,013 px｜主异常位置：右侧｜异常显著性：高</t>
    <phoneticPr fontId="1" type="noConversion"/>
  </si>
  <si>
    <t>置信度：92%｜异常面积占比：13.47%｜异常像素：37,013 px｜主异常位置：右侧｜异常显著性：高</t>
    <phoneticPr fontId="1" type="noConversion"/>
  </si>
  <si>
    <t>系统在左下检测到破损，瓶体与正常模板相比存在可分辨差异，异常区域约占图像13.47%。综合异常位置、面积与形态特征，判定为不合格。</t>
    <phoneticPr fontId="1" type="noConversion"/>
  </si>
  <si>
    <t>系统在局部扫描中发现与正常模板不一致的可疑区域，主要表现为边缘响应异常，因此输出不合格。该题为误报样本，解释反映的是AI当时的判断依据。</t>
    <phoneticPr fontId="1" type="noConversion"/>
  </si>
  <si>
    <t>系统在局部扫描中发现与正常模板不一致的可疑区域，主要为纹理或边缘响应异常，因此输出不合格。该题为误报样本，解释反映的是AI当时的判断依据。</t>
    <phoneticPr fontId="1" type="noConversion"/>
  </si>
  <si>
    <t>无缺陷</t>
    <phoneticPr fontId="1" type="noConversion"/>
  </si>
  <si>
    <t>置信度：64%｜异常面积占比：3.87%｜异常像素：1,235 px｜主异常位置：中心区域｜异常显著性：低</t>
    <phoneticPr fontId="1" type="noConversion"/>
  </si>
  <si>
    <t>置信度：66%｜异常面积占比：4.88%｜异常像素：1476 px｜主异常位置：中心区域｜异常显著性：低</t>
    <phoneticPr fontId="1" type="noConversion"/>
  </si>
  <si>
    <t>系统在局部扫描中发现与正常模板不一致的可疑区域，主要表现为纹理响应异常，因此输出不合格。该题为误报样本，解释反映的是AI当时的判断依据。</t>
    <phoneticPr fontId="1" type="noConversion"/>
  </si>
  <si>
    <t>置信度：68%｜异常面积占比：0.00%｜异常像素：0 px｜整体一致性：中｜判定位置：全局扫描</t>
    <phoneticPr fontId="1" type="noConversion"/>
  </si>
  <si>
    <t>置信度：60%｜异常面积占比：0.00%｜异常像素：0 px｜整体一致性：中｜判定位置：全局扫描</t>
    <phoneticPr fontId="1" type="noConversion"/>
  </si>
  <si>
    <t>系统未检测到足够显著的异常信号，当前可见偏差规模较小且不具备稳定连续性，因此仍输出合格。该题为漏检样本，解释反映的是AI当时的判断依据。</t>
    <phoneticPr fontId="1" type="noConversion"/>
  </si>
  <si>
    <t>置信度：65%｜异常面积占比：1.49%｜异常像素：901 px｜整体一致性：中｜判定位置：全局扫描</t>
    <phoneticPr fontId="1" type="noConversion"/>
  </si>
  <si>
    <t>置信度：97%｜异常面积占比：6.57%｜异常像素：32,188 px｜主异常位置：上部右侧｜异常显著性：高</t>
    <phoneticPr fontId="1" type="noConversion"/>
  </si>
  <si>
    <t>置信度：91%｜异常面积占比：2.01%｜异常像素：2,838 px｜主异常位置：下部左侧｜异常显著性：中</t>
    <phoneticPr fontId="1" type="noConversion"/>
  </si>
  <si>
    <t>置信度：61%｜异常面积占比：1.07%｜异常像素：823 px｜整体一致性：中｜判定位置：全局扫描</t>
    <phoneticPr fontId="1" type="noConversion"/>
  </si>
  <si>
    <t>metal_nut/test/good/005.png</t>
    <phoneticPr fontId="1" type="noConversion"/>
  </si>
  <si>
    <t>metal_nut/test/good/007.png</t>
    <phoneticPr fontId="1" type="noConversion"/>
  </si>
  <si>
    <t>metal_nut/test/good/008.png</t>
    <phoneticPr fontId="1" type="noConversion"/>
  </si>
  <si>
    <t>metal_nut/test/good/012.png</t>
    <phoneticPr fontId="1" type="noConversion"/>
  </si>
  <si>
    <t>标准答案：不采购。质量分=55，成本分=64.6，综合分=57.88。先检查质量是否过线，再综合考虑成本。</t>
    <phoneticPr fontId="1" type="noConversion"/>
  </si>
  <si>
    <t>产品类别中文</t>
    <phoneticPr fontId="1" type="noConversion"/>
  </si>
  <si>
    <t>质量分=66；成本分=45.0；质量门槛=60；综合分=59.7。AI 建议：不采购。</t>
    <phoneticPr fontId="1" type="noConversion"/>
  </si>
  <si>
    <t>质量分=77；成本分=30.0；质量门槛=60；综合分=62.9。AI 建议：不采购。</t>
    <phoneticPr fontId="1" type="noConversion"/>
  </si>
  <si>
    <t>质量分=78；成本分=75.0；质量门槛=60；综合分=77.1。AI 建议：采购。</t>
    <phoneticPr fontId="1" type="noConversion"/>
  </si>
  <si>
    <t>质量分=78；成本分=75.4；质量门槛=60；综合分=77.2。AI 建议：采购。</t>
    <phoneticPr fontId="1" type="noConversion"/>
  </si>
  <si>
    <t>质量分=76；成本分=64.6；质量门槛=60；综合分=72.6。AI 建议：不采购。</t>
    <phoneticPr fontId="1" type="noConversion"/>
  </si>
  <si>
    <t>该金属螺母存在“无缺陷”相关质量表现，结合供应价格 8.2 元/件进行综合评估。在质量达到基本要求后，整体采购价值较高。</t>
    <phoneticPr fontId="1" type="noConversion"/>
  </si>
  <si>
    <t>该金属螺母存在“无缺陷”相关质量表现，结合供应价格 7.6 元/件进行综合评估。其质量或成本条件不足以支持采购。</t>
    <phoneticPr fontId="1" type="noConversion"/>
  </si>
  <si>
    <t>该金属螺母存在“颜色异常”相关质量表现，结合供应价格 9.6 元/件进行综合评估。其质量或成本条件不足以支持采购。</t>
    <phoneticPr fontId="1" type="noConversion"/>
  </si>
  <si>
    <t>质量分=59；成本分=75.4；质量门槛=60；综合分=63.9。AI 建议：不采购。</t>
    <phoneticPr fontId="1" type="noConversion"/>
  </si>
  <si>
    <t>质量分=71；成本分=54.6；质量门槛=60；综合分=66.1。AI 建议：不采购。</t>
    <phoneticPr fontId="1" type="noConversion"/>
  </si>
  <si>
    <t>质量分=68；成本分=42.3；质量门槛=60；综合分=60.3。AI 建议：不采购。</t>
    <phoneticPr fontId="1" type="noConversion"/>
  </si>
  <si>
    <t>质量分=63；成本分=30.0；质量门槛=60；综合分=53.1。AI 建议：不采购。</t>
    <phoneticPr fontId="1" type="noConversion"/>
  </si>
  <si>
    <t>该金属螺母存在“弯曲”相关质量表现，结合供应价格 12.2 元/件进行综合评估。其质量或成本条件不足以支持采购。</t>
    <phoneticPr fontId="1" type="noConversion"/>
  </si>
  <si>
    <t>该金属螺母存在“颜色异常”相关质量表现，结合供应价格 8.2 元/件进行综合评估。其质量或成本条件不足以支持采购。</t>
    <phoneticPr fontId="1" type="noConversion"/>
  </si>
  <si>
    <t>该金属螺母存在“翻转”相关质量表现，结合供应价格 10.9 元/件进行综合评估。其质量或成本条件不足以支持采购。</t>
    <phoneticPr fontId="1" type="noConversion"/>
  </si>
  <si>
    <t>该金属螺母存在“划痕”相关质量表现，结合供应价格 12.5 元/件进行综合评估。其质量或成本条件不足以支持采购。</t>
    <phoneticPr fontId="1" type="noConversion"/>
  </si>
  <si>
    <t>该金属螺母存在“弯曲”相关质量表现，结合供应价格 14.1 元/件进行综合评估。其质量或成本条件不足以支持采购。</t>
    <phoneticPr fontId="1" type="noConversion"/>
  </si>
  <si>
    <t>正确</t>
    <phoneticPr fontId="1" type="noConversion"/>
  </si>
  <si>
    <t>不采购</t>
    <phoneticPr fontId="1" type="noConversion"/>
  </si>
  <si>
    <t>质量分=59；成本分=75.0；质量门槛=60；综合分=63.8。AI 建议：不采购。</t>
    <phoneticPr fontId="1" type="noConversion"/>
  </si>
  <si>
    <t>采购</t>
    <phoneticPr fontId="1" type="noConversion"/>
  </si>
  <si>
    <t>质量分=63；成本分=30.0；质量门槛=60；综合分=53.1。AI 建议：采购。</t>
    <phoneticPr fontId="1" type="noConversion"/>
  </si>
  <si>
    <t>质量分=89；成本分=55.0；质量门槛=60；综合分=78.8。AI 建议：采购。</t>
    <phoneticPr fontId="1" type="noConversion"/>
  </si>
  <si>
    <t>该瓶子存在“大破损”相关质量表现，结合供应价格 17.2 元/件进行综合评估。在质量达到基本要求后，整体采购价值较高。</t>
    <phoneticPr fontId="1" type="noConversion"/>
  </si>
  <si>
    <t>该瓶子存在“污染”相关质量表现，结合供应价格 13.2 元/件进行综合评估。在质量达到基本要求后，整体采购价值较高。</t>
    <phoneticPr fontId="1" type="noConversion"/>
  </si>
  <si>
    <t>该胶囊存在“裂缝”相关质量表现，结合供应价格 17.9 元/件进行综合评估。其质量或成本条件不足以支持采购。</t>
    <phoneticPr fontId="1" type="noConversion"/>
  </si>
  <si>
    <t>该胶囊存在“渗漏”相关质量表现，结合供应价格 12.5 元/件进行综合评估。其质量或成本条件不足以支持采购。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</si>
</sst>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/>
  </sheetViews>
  <sheetFormatPr defaultRowHeight="14" x14ac:dyDescent="0.25"/>
  <sheetData>
    <row r="1" spans="1:8" x14ac:dyDescent="0.25">
      <c r="A1" t="s">
        <v>0</v>
      </c>
    </row>
    <row r="3" spans="1:8" x14ac:dyDescent="0.25">
      <c r="A3" t="s">
        <v>1</v>
      </c>
    </row>
    <row r="4" spans="1:8" x14ac:dyDescent="0.25">
      <c r="A4" t="s">
        <v>2</v>
      </c>
    </row>
    <row r="5" spans="1:8" x14ac:dyDescent="0.25">
      <c r="A5" t="s">
        <v>3</v>
      </c>
    </row>
    <row r="6" spans="1:8" x14ac:dyDescent="0.25">
      <c r="A6" t="s">
        <v>4</v>
      </c>
    </row>
    <row r="7" spans="1:8" x14ac:dyDescent="0.25">
      <c r="A7" t="s">
        <v>5</v>
      </c>
    </row>
    <row r="8" spans="1:8" x14ac:dyDescent="0.25">
      <c r="A8" t="s">
        <v>6</v>
      </c>
    </row>
    <row r="10" spans="1:8" x14ac:dyDescent="0.25">
      <c r="A10" t="s">
        <v>7</v>
      </c>
      <c r="F10" t="s">
        <v>8</v>
      </c>
    </row>
    <row r="11" spans="1:8" x14ac:dyDescent="0.25">
      <c r="A11" t="s">
        <v>9</v>
      </c>
      <c r="B11" t="s">
        <v>10</v>
      </c>
      <c r="C11" t="s">
        <v>11</v>
      </c>
      <c r="F11" t="s">
        <v>12</v>
      </c>
      <c r="G11" t="s">
        <v>13</v>
      </c>
      <c r="H11" t="s">
        <v>14</v>
      </c>
    </row>
    <row r="12" spans="1:8" x14ac:dyDescent="0.25">
      <c r="A12" t="s">
        <v>15</v>
      </c>
      <c r="B12">
        <v>0.7</v>
      </c>
      <c r="C12" t="s">
        <v>16</v>
      </c>
      <c r="F12" t="s">
        <v>17</v>
      </c>
      <c r="G12">
        <v>48</v>
      </c>
    </row>
    <row r="13" spans="1:8" x14ac:dyDescent="0.25">
      <c r="A13" t="s">
        <v>18</v>
      </c>
      <c r="B13">
        <v>0.3</v>
      </c>
      <c r="C13" t="s">
        <v>16</v>
      </c>
      <c r="F13" t="s">
        <v>19</v>
      </c>
      <c r="G13">
        <v>48</v>
      </c>
    </row>
    <row r="14" spans="1:8" x14ac:dyDescent="0.25">
      <c r="A14" t="s">
        <v>20</v>
      </c>
      <c r="B14">
        <v>60</v>
      </c>
      <c r="C14" t="s">
        <v>21</v>
      </c>
      <c r="F14" t="s">
        <v>22</v>
      </c>
      <c r="G14">
        <v>8</v>
      </c>
    </row>
    <row r="15" spans="1:8" x14ac:dyDescent="0.25">
      <c r="A15" t="s">
        <v>23</v>
      </c>
      <c r="B15">
        <v>75</v>
      </c>
      <c r="C15" t="s">
        <v>24</v>
      </c>
      <c r="F15" t="s">
        <v>25</v>
      </c>
      <c r="G15">
        <v>26</v>
      </c>
    </row>
    <row r="16" spans="1:8" x14ac:dyDescent="0.25">
      <c r="F16" t="s">
        <v>26</v>
      </c>
      <c r="G16">
        <v>10</v>
      </c>
    </row>
    <row r="17" spans="6:7" x14ac:dyDescent="0.25">
      <c r="F17" t="s">
        <v>27</v>
      </c>
      <c r="G17">
        <v>12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A16" sqref="A16"/>
    </sheetView>
  </sheetViews>
  <sheetFormatPr defaultRowHeight="14" x14ac:dyDescent="0.25"/>
  <cols>
    <col min="1" max="1" width="22.1796875" bestFit="1" customWidth="1"/>
    <col min="2" max="2" width="28.6328125" bestFit="1" customWidth="1"/>
    <col min="3" max="3" width="26.54296875" bestFit="1" customWidth="1"/>
    <col min="4" max="4" width="33" bestFit="1" customWidth="1"/>
  </cols>
  <sheetData>
    <row r="1" spans="1:5" x14ac:dyDescent="0.25">
      <c r="A1" t="s">
        <v>28</v>
      </c>
    </row>
    <row r="3" spans="1:5" x14ac:dyDescent="0.25">
      <c r="A3" t="s">
        <v>29</v>
      </c>
      <c r="B3" t="s">
        <v>30</v>
      </c>
      <c r="C3" t="s">
        <v>31</v>
      </c>
      <c r="D3" t="s">
        <v>32</v>
      </c>
      <c r="E3" t="s">
        <v>33</v>
      </c>
    </row>
    <row r="4" spans="1:5" x14ac:dyDescent="0.25">
      <c r="A4" t="s">
        <v>34</v>
      </c>
      <c r="B4" t="s">
        <v>35</v>
      </c>
      <c r="C4" t="s">
        <v>36</v>
      </c>
      <c r="D4" t="s">
        <v>37</v>
      </c>
      <c r="E4" t="s">
        <v>38</v>
      </c>
    </row>
    <row r="5" spans="1:5" x14ac:dyDescent="0.25">
      <c r="A5" t="s">
        <v>39</v>
      </c>
      <c r="B5" t="s">
        <v>40</v>
      </c>
      <c r="C5" t="s">
        <v>41</v>
      </c>
      <c r="D5" t="s">
        <v>42</v>
      </c>
      <c r="E5" t="s">
        <v>43</v>
      </c>
    </row>
    <row r="6" spans="1:5" x14ac:dyDescent="0.25">
      <c r="A6" t="s">
        <v>44</v>
      </c>
      <c r="B6" t="s">
        <v>40</v>
      </c>
      <c r="C6" t="s">
        <v>45</v>
      </c>
      <c r="D6" t="s">
        <v>42</v>
      </c>
      <c r="E6" t="s">
        <v>46</v>
      </c>
    </row>
    <row r="7" spans="1:5" x14ac:dyDescent="0.25">
      <c r="A7" t="s">
        <v>47</v>
      </c>
      <c r="B7" t="s">
        <v>40</v>
      </c>
      <c r="C7" t="s">
        <v>48</v>
      </c>
      <c r="D7" t="s">
        <v>49</v>
      </c>
      <c r="E7" t="s">
        <v>50</v>
      </c>
    </row>
    <row r="8" spans="1:5" x14ac:dyDescent="0.25">
      <c r="A8" t="s">
        <v>51</v>
      </c>
      <c r="B8" t="s">
        <v>40</v>
      </c>
      <c r="C8" t="s">
        <v>52</v>
      </c>
      <c r="D8" t="s">
        <v>53</v>
      </c>
      <c r="E8" t="s">
        <v>54</v>
      </c>
    </row>
    <row r="9" spans="1:5" x14ac:dyDescent="0.25">
      <c r="A9" t="s">
        <v>55</v>
      </c>
      <c r="B9" t="s">
        <v>56</v>
      </c>
      <c r="C9" t="s">
        <v>57</v>
      </c>
      <c r="D9" t="s">
        <v>58</v>
      </c>
      <c r="E9" t="s">
        <v>59</v>
      </c>
    </row>
    <row r="10" spans="1:5" x14ac:dyDescent="0.25">
      <c r="A10" t="s">
        <v>60</v>
      </c>
      <c r="B10" t="s">
        <v>56</v>
      </c>
      <c r="C10" t="s">
        <v>61</v>
      </c>
      <c r="D10" t="s">
        <v>58</v>
      </c>
      <c r="E10" t="s">
        <v>59</v>
      </c>
    </row>
    <row r="11" spans="1:5" x14ac:dyDescent="0.25">
      <c r="A11" t="s">
        <v>62</v>
      </c>
      <c r="B11" t="s">
        <v>63</v>
      </c>
      <c r="C11" t="s">
        <v>64</v>
      </c>
      <c r="D11" t="s">
        <v>65</v>
      </c>
      <c r="E11" t="s">
        <v>66</v>
      </c>
    </row>
    <row r="12" spans="1:5" x14ac:dyDescent="0.25">
      <c r="A12" t="s">
        <v>67</v>
      </c>
      <c r="B12" t="s">
        <v>63</v>
      </c>
      <c r="C12" t="s">
        <v>68</v>
      </c>
      <c r="D12" t="s">
        <v>69</v>
      </c>
      <c r="E12" t="s">
        <v>70</v>
      </c>
    </row>
    <row r="13" spans="1:5" x14ac:dyDescent="0.25">
      <c r="A13" t="s">
        <v>71</v>
      </c>
      <c r="B13" t="s">
        <v>63</v>
      </c>
      <c r="C13" t="s">
        <v>72</v>
      </c>
      <c r="D13" t="s">
        <v>65</v>
      </c>
      <c r="E13" t="s">
        <v>73</v>
      </c>
    </row>
    <row r="14" spans="1:5" x14ac:dyDescent="0.25">
      <c r="A14" t="s">
        <v>74</v>
      </c>
      <c r="B14" t="s">
        <v>63</v>
      </c>
      <c r="C14" t="s">
        <v>20</v>
      </c>
      <c r="D14" t="s">
        <v>75</v>
      </c>
      <c r="E14" t="s">
        <v>76</v>
      </c>
    </row>
    <row r="15" spans="1:5" x14ac:dyDescent="0.25">
      <c r="A15" t="s">
        <v>77</v>
      </c>
      <c r="B15" t="s">
        <v>63</v>
      </c>
      <c r="C15" t="s">
        <v>78</v>
      </c>
      <c r="D15" t="s">
        <v>65</v>
      </c>
      <c r="E15" t="s">
        <v>79</v>
      </c>
    </row>
    <row r="16" spans="1:5" x14ac:dyDescent="0.25">
      <c r="A16" t="s">
        <v>80</v>
      </c>
      <c r="B16" t="s">
        <v>63</v>
      </c>
      <c r="C16" t="s">
        <v>81</v>
      </c>
      <c r="D16" t="s">
        <v>82</v>
      </c>
      <c r="E16" t="s">
        <v>83</v>
      </c>
    </row>
    <row r="17" spans="1:5" x14ac:dyDescent="0.25">
      <c r="A17" t="s">
        <v>84</v>
      </c>
      <c r="B17" t="s">
        <v>63</v>
      </c>
      <c r="C17" t="s">
        <v>85</v>
      </c>
      <c r="D17" t="s">
        <v>86</v>
      </c>
      <c r="E17" t="s">
        <v>87</v>
      </c>
    </row>
    <row r="18" spans="1:5" x14ac:dyDescent="0.25">
      <c r="A18" t="s">
        <v>88</v>
      </c>
      <c r="B18" t="s">
        <v>63</v>
      </c>
      <c r="C18" t="s">
        <v>89</v>
      </c>
      <c r="D18" t="s">
        <v>90</v>
      </c>
      <c r="E18" t="s">
        <v>91</v>
      </c>
    </row>
    <row r="19" spans="1:5" x14ac:dyDescent="0.25">
      <c r="A19" t="s">
        <v>92</v>
      </c>
      <c r="B19" t="s">
        <v>56</v>
      </c>
      <c r="C19" t="s">
        <v>93</v>
      </c>
      <c r="D19" t="s">
        <v>94</v>
      </c>
      <c r="E19" t="s">
        <v>59</v>
      </c>
    </row>
    <row r="20" spans="1:5" x14ac:dyDescent="0.25">
      <c r="A20" t="s">
        <v>95</v>
      </c>
      <c r="B20" t="s">
        <v>63</v>
      </c>
      <c r="C20" t="s">
        <v>96</v>
      </c>
      <c r="D20" t="s">
        <v>94</v>
      </c>
      <c r="E20" t="s">
        <v>97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51"/>
  <sheetViews>
    <sheetView topLeftCell="R1" zoomScale="80" zoomScaleNormal="80" workbookViewId="0">
      <selection activeCell="S42" sqref="S42:S49"/>
    </sheetView>
  </sheetViews>
  <sheetFormatPr defaultRowHeight="14" x14ac:dyDescent="0.25"/>
  <cols>
    <col min="14" max="14" width="28.6328125" bestFit="1" customWidth="1"/>
    <col min="15" max="15" width="95.6328125" bestFit="1" customWidth="1"/>
    <col min="16" max="16" width="101" bestFit="1" customWidth="1"/>
    <col min="17" max="17" width="170.08984375" bestFit="1" customWidth="1"/>
    <col min="18" max="18" width="103.1796875" bestFit="1" customWidth="1"/>
    <col min="19" max="19" width="36.1796875" bestFit="1" customWidth="1"/>
  </cols>
  <sheetData>
    <row r="1" spans="1:19" x14ac:dyDescent="0.25">
      <c r="A1" t="s">
        <v>34</v>
      </c>
      <c r="B1" t="s">
        <v>39</v>
      </c>
      <c r="C1" t="s">
        <v>47</v>
      </c>
      <c r="D1" t="s">
        <v>98</v>
      </c>
      <c r="E1" t="s">
        <v>99</v>
      </c>
      <c r="F1" t="s">
        <v>100</v>
      </c>
      <c r="G1" t="s">
        <v>51</v>
      </c>
      <c r="H1" t="s">
        <v>101</v>
      </c>
      <c r="I1" t="s">
        <v>55</v>
      </c>
      <c r="J1" t="s">
        <v>102</v>
      </c>
      <c r="K1" t="s">
        <v>60</v>
      </c>
      <c r="L1" t="s">
        <v>103</v>
      </c>
      <c r="M1" t="s">
        <v>92</v>
      </c>
      <c r="N1" t="s">
        <v>104</v>
      </c>
      <c r="O1" t="s">
        <v>105</v>
      </c>
      <c r="P1" t="s">
        <v>106</v>
      </c>
      <c r="Q1" t="s">
        <v>107</v>
      </c>
      <c r="R1" t="s">
        <v>108</v>
      </c>
      <c r="S1" t="s">
        <v>44</v>
      </c>
    </row>
    <row r="2" spans="1:19" hidden="1" x14ac:dyDescent="0.25">
      <c r="A2">
        <v>1</v>
      </c>
      <c r="B2" t="s">
        <v>109</v>
      </c>
      <c r="C2" t="s">
        <v>110</v>
      </c>
      <c r="D2" t="s">
        <v>111</v>
      </c>
      <c r="E2" t="s">
        <v>112</v>
      </c>
      <c r="F2" t="s">
        <v>113</v>
      </c>
      <c r="G2" t="s">
        <v>114</v>
      </c>
      <c r="H2" t="s">
        <v>115</v>
      </c>
      <c r="I2">
        <v>1</v>
      </c>
      <c r="J2" t="s">
        <v>116</v>
      </c>
      <c r="K2">
        <v>0</v>
      </c>
      <c r="L2" t="s">
        <v>117</v>
      </c>
      <c r="M2">
        <v>0</v>
      </c>
      <c r="N2" t="s">
        <v>118</v>
      </c>
      <c r="O2" t="s">
        <v>119</v>
      </c>
      <c r="P2" t="s">
        <v>394</v>
      </c>
      <c r="Q2" t="s">
        <v>420</v>
      </c>
      <c r="R2" t="s">
        <v>121</v>
      </c>
      <c r="S2" t="s">
        <v>122</v>
      </c>
    </row>
    <row r="3" spans="1:19" hidden="1" x14ac:dyDescent="0.25">
      <c r="A3">
        <v>2</v>
      </c>
      <c r="B3" t="s">
        <v>123</v>
      </c>
      <c r="C3" t="s">
        <v>110</v>
      </c>
      <c r="D3" t="s">
        <v>111</v>
      </c>
      <c r="E3" t="s">
        <v>112</v>
      </c>
      <c r="F3" t="s">
        <v>113</v>
      </c>
      <c r="G3" t="s">
        <v>114</v>
      </c>
      <c r="H3" t="s">
        <v>115</v>
      </c>
      <c r="I3">
        <v>1</v>
      </c>
      <c r="J3" t="s">
        <v>115</v>
      </c>
      <c r="K3">
        <v>1</v>
      </c>
      <c r="L3" t="s">
        <v>124</v>
      </c>
      <c r="M3">
        <v>1</v>
      </c>
      <c r="N3" t="s">
        <v>125</v>
      </c>
      <c r="O3" t="s">
        <v>126</v>
      </c>
      <c r="P3" t="s">
        <v>127</v>
      </c>
      <c r="Q3" t="s">
        <v>128</v>
      </c>
      <c r="R3" t="s">
        <v>121</v>
      </c>
      <c r="S3" t="s">
        <v>129</v>
      </c>
    </row>
    <row r="4" spans="1:19" hidden="1" x14ac:dyDescent="0.25">
      <c r="A4">
        <v>3</v>
      </c>
      <c r="B4" t="s">
        <v>130</v>
      </c>
      <c r="C4" t="s">
        <v>110</v>
      </c>
      <c r="D4" t="s">
        <v>111</v>
      </c>
      <c r="E4" t="s">
        <v>112</v>
      </c>
      <c r="F4" t="s">
        <v>113</v>
      </c>
      <c r="G4" t="s">
        <v>114</v>
      </c>
      <c r="H4" t="s">
        <v>115</v>
      </c>
      <c r="I4">
        <v>1</v>
      </c>
      <c r="J4" t="s">
        <v>115</v>
      </c>
      <c r="K4">
        <v>1</v>
      </c>
      <c r="L4" t="s">
        <v>124</v>
      </c>
      <c r="M4">
        <v>1</v>
      </c>
      <c r="N4" t="s">
        <v>125</v>
      </c>
      <c r="O4" t="s">
        <v>126</v>
      </c>
      <c r="P4" t="s">
        <v>131</v>
      </c>
      <c r="Q4" t="s">
        <v>128</v>
      </c>
      <c r="R4" t="s">
        <v>121</v>
      </c>
      <c r="S4" t="s">
        <v>132</v>
      </c>
    </row>
    <row r="5" spans="1:19" hidden="1" x14ac:dyDescent="0.25">
      <c r="A5">
        <v>4</v>
      </c>
      <c r="B5" t="s">
        <v>133</v>
      </c>
      <c r="C5" t="s">
        <v>110</v>
      </c>
      <c r="D5" t="s">
        <v>111</v>
      </c>
      <c r="E5" t="s">
        <v>112</v>
      </c>
      <c r="F5" t="s">
        <v>113</v>
      </c>
      <c r="G5" t="s">
        <v>114</v>
      </c>
      <c r="H5" t="s">
        <v>115</v>
      </c>
      <c r="I5">
        <v>1</v>
      </c>
      <c r="J5" t="s">
        <v>115</v>
      </c>
      <c r="K5">
        <v>1</v>
      </c>
      <c r="L5" t="s">
        <v>124</v>
      </c>
      <c r="M5">
        <v>1</v>
      </c>
      <c r="N5" t="s">
        <v>125</v>
      </c>
      <c r="O5" t="s">
        <v>126</v>
      </c>
      <c r="P5" t="s">
        <v>134</v>
      </c>
      <c r="Q5" t="s">
        <v>128</v>
      </c>
      <c r="R5" t="s">
        <v>121</v>
      </c>
      <c r="S5" t="s">
        <v>135</v>
      </c>
    </row>
    <row r="6" spans="1:19" hidden="1" x14ac:dyDescent="0.25">
      <c r="A6">
        <v>5</v>
      </c>
      <c r="B6" t="s">
        <v>136</v>
      </c>
      <c r="C6" t="s">
        <v>110</v>
      </c>
      <c r="D6" t="s">
        <v>111</v>
      </c>
      <c r="E6" t="s">
        <v>140</v>
      </c>
      <c r="F6" t="s">
        <v>113</v>
      </c>
      <c r="G6" t="s">
        <v>114</v>
      </c>
      <c r="H6" t="s">
        <v>116</v>
      </c>
      <c r="I6">
        <v>0</v>
      </c>
      <c r="J6" t="s">
        <v>116</v>
      </c>
      <c r="K6">
        <v>0</v>
      </c>
      <c r="L6" t="s">
        <v>124</v>
      </c>
      <c r="M6">
        <v>1</v>
      </c>
      <c r="N6" t="s">
        <v>118</v>
      </c>
      <c r="O6" t="s">
        <v>403</v>
      </c>
      <c r="P6" t="s">
        <v>396</v>
      </c>
      <c r="Q6" t="s">
        <v>399</v>
      </c>
      <c r="R6" t="s">
        <v>408</v>
      </c>
      <c r="S6" t="s">
        <v>395</v>
      </c>
    </row>
    <row r="7" spans="1:19" hidden="1" x14ac:dyDescent="0.25">
      <c r="A7">
        <v>6</v>
      </c>
      <c r="B7" t="s">
        <v>139</v>
      </c>
      <c r="C7" t="s">
        <v>110</v>
      </c>
      <c r="D7" t="s">
        <v>111</v>
      </c>
      <c r="E7" t="s">
        <v>140</v>
      </c>
      <c r="F7" t="s">
        <v>113</v>
      </c>
      <c r="G7" t="s">
        <v>114</v>
      </c>
      <c r="H7" t="s">
        <v>116</v>
      </c>
      <c r="I7">
        <v>0</v>
      </c>
      <c r="J7" t="s">
        <v>116</v>
      </c>
      <c r="K7">
        <v>0</v>
      </c>
      <c r="L7" t="s">
        <v>124</v>
      </c>
      <c r="M7">
        <v>1</v>
      </c>
      <c r="N7" t="s">
        <v>118</v>
      </c>
      <c r="O7" t="s">
        <v>404</v>
      </c>
      <c r="P7" t="s">
        <v>406</v>
      </c>
      <c r="Q7" t="s">
        <v>400</v>
      </c>
      <c r="R7" t="s">
        <v>409</v>
      </c>
      <c r="S7" t="s">
        <v>397</v>
      </c>
    </row>
    <row r="8" spans="1:19" hidden="1" x14ac:dyDescent="0.25">
      <c r="A8">
        <v>7</v>
      </c>
      <c r="B8" t="s">
        <v>143</v>
      </c>
      <c r="C8" t="s">
        <v>110</v>
      </c>
      <c r="D8" t="s">
        <v>111</v>
      </c>
      <c r="E8" t="s">
        <v>137</v>
      </c>
      <c r="F8" t="s">
        <v>113</v>
      </c>
      <c r="G8" t="s">
        <v>114</v>
      </c>
      <c r="H8" t="s">
        <v>116</v>
      </c>
      <c r="I8">
        <v>0</v>
      </c>
      <c r="J8" t="s">
        <v>116</v>
      </c>
      <c r="K8">
        <v>0</v>
      </c>
      <c r="L8" t="s">
        <v>124</v>
      </c>
      <c r="M8">
        <v>1</v>
      </c>
      <c r="N8" t="s">
        <v>118</v>
      </c>
      <c r="O8" t="s">
        <v>119</v>
      </c>
      <c r="P8" t="s">
        <v>407</v>
      </c>
      <c r="Q8" t="s">
        <v>398</v>
      </c>
      <c r="R8" t="s">
        <v>410</v>
      </c>
      <c r="S8" t="s">
        <v>401</v>
      </c>
    </row>
    <row r="9" spans="1:19" hidden="1" x14ac:dyDescent="0.25">
      <c r="A9">
        <v>8</v>
      </c>
      <c r="B9" t="s">
        <v>147</v>
      </c>
      <c r="C9" t="s">
        <v>110</v>
      </c>
      <c r="D9" t="s">
        <v>111</v>
      </c>
      <c r="E9" t="s">
        <v>137</v>
      </c>
      <c r="F9" t="s">
        <v>113</v>
      </c>
      <c r="G9" t="s">
        <v>114</v>
      </c>
      <c r="H9" t="s">
        <v>116</v>
      </c>
      <c r="I9">
        <v>0</v>
      </c>
      <c r="J9" t="s">
        <v>115</v>
      </c>
      <c r="K9">
        <v>1</v>
      </c>
      <c r="L9" t="s">
        <v>117</v>
      </c>
      <c r="M9">
        <v>0</v>
      </c>
      <c r="N9" t="s">
        <v>125</v>
      </c>
      <c r="O9" t="s">
        <v>126</v>
      </c>
      <c r="P9" t="s">
        <v>148</v>
      </c>
      <c r="Q9" t="s">
        <v>128</v>
      </c>
      <c r="R9" t="s">
        <v>411</v>
      </c>
      <c r="S9" t="s">
        <v>402</v>
      </c>
    </row>
    <row r="10" spans="1:19" hidden="1" x14ac:dyDescent="0.25">
      <c r="A10">
        <v>9</v>
      </c>
      <c r="B10" t="s">
        <v>150</v>
      </c>
      <c r="C10" t="s">
        <v>110</v>
      </c>
      <c r="D10" t="s">
        <v>111</v>
      </c>
      <c r="E10" t="s">
        <v>112</v>
      </c>
      <c r="F10" t="s">
        <v>151</v>
      </c>
      <c r="G10" t="s">
        <v>152</v>
      </c>
      <c r="H10" t="s">
        <v>115</v>
      </c>
      <c r="I10">
        <v>1</v>
      </c>
      <c r="J10" t="s">
        <v>116</v>
      </c>
      <c r="K10">
        <v>0</v>
      </c>
      <c r="L10" t="s">
        <v>117</v>
      </c>
      <c r="M10">
        <v>0</v>
      </c>
      <c r="N10" t="s">
        <v>118</v>
      </c>
      <c r="O10" t="s">
        <v>119</v>
      </c>
      <c r="P10" t="s">
        <v>393</v>
      </c>
      <c r="Q10" t="s">
        <v>421</v>
      </c>
      <c r="R10" t="s">
        <v>121</v>
      </c>
      <c r="S10" t="s">
        <v>138</v>
      </c>
    </row>
    <row r="11" spans="1:19" hidden="1" x14ac:dyDescent="0.25">
      <c r="A11">
        <v>10</v>
      </c>
      <c r="B11" t="s">
        <v>153</v>
      </c>
      <c r="C11" t="s">
        <v>110</v>
      </c>
      <c r="D11" t="s">
        <v>111</v>
      </c>
      <c r="E11" t="s">
        <v>112</v>
      </c>
      <c r="F11" t="s">
        <v>151</v>
      </c>
      <c r="G11" t="s">
        <v>152</v>
      </c>
      <c r="H11" t="s">
        <v>115</v>
      </c>
      <c r="I11">
        <v>1</v>
      </c>
      <c r="J11" t="s">
        <v>115</v>
      </c>
      <c r="K11">
        <v>1</v>
      </c>
      <c r="L11" t="s">
        <v>124</v>
      </c>
      <c r="M11">
        <v>1</v>
      </c>
      <c r="N11" t="s">
        <v>125</v>
      </c>
      <c r="O11" t="s">
        <v>126</v>
      </c>
      <c r="P11" t="s">
        <v>141</v>
      </c>
      <c r="Q11" t="s">
        <v>128</v>
      </c>
      <c r="R11" t="s">
        <v>121</v>
      </c>
      <c r="S11" t="s">
        <v>142</v>
      </c>
    </row>
    <row r="12" spans="1:19" hidden="1" x14ac:dyDescent="0.25">
      <c r="A12">
        <v>11</v>
      </c>
      <c r="B12" t="s">
        <v>154</v>
      </c>
      <c r="C12" t="s">
        <v>110</v>
      </c>
      <c r="D12" t="s">
        <v>111</v>
      </c>
      <c r="E12" t="s">
        <v>112</v>
      </c>
      <c r="F12" t="s">
        <v>151</v>
      </c>
      <c r="G12" t="s">
        <v>152</v>
      </c>
      <c r="H12" t="s">
        <v>115</v>
      </c>
      <c r="I12">
        <v>1</v>
      </c>
      <c r="J12" t="s">
        <v>115</v>
      </c>
      <c r="K12">
        <v>1</v>
      </c>
      <c r="L12" t="s">
        <v>124</v>
      </c>
      <c r="M12">
        <v>1</v>
      </c>
      <c r="N12" t="s">
        <v>125</v>
      </c>
      <c r="O12" t="s">
        <v>126</v>
      </c>
      <c r="P12" t="s">
        <v>148</v>
      </c>
      <c r="Q12" t="s">
        <v>128</v>
      </c>
      <c r="R12" t="s">
        <v>121</v>
      </c>
      <c r="S12" t="s">
        <v>146</v>
      </c>
    </row>
    <row r="13" spans="1:19" hidden="1" x14ac:dyDescent="0.25">
      <c r="A13">
        <v>12</v>
      </c>
      <c r="B13" t="s">
        <v>155</v>
      </c>
      <c r="C13" t="s">
        <v>110</v>
      </c>
      <c r="D13" t="s">
        <v>111</v>
      </c>
      <c r="E13" t="s">
        <v>112</v>
      </c>
      <c r="F13" t="s">
        <v>151</v>
      </c>
      <c r="G13" t="s">
        <v>152</v>
      </c>
      <c r="H13" t="s">
        <v>115</v>
      </c>
      <c r="I13">
        <v>1</v>
      </c>
      <c r="J13" t="s">
        <v>115</v>
      </c>
      <c r="K13">
        <v>1</v>
      </c>
      <c r="L13" t="s">
        <v>124</v>
      </c>
      <c r="M13">
        <v>1</v>
      </c>
      <c r="N13" t="s">
        <v>125</v>
      </c>
      <c r="O13" t="s">
        <v>126</v>
      </c>
      <c r="P13" t="s">
        <v>392</v>
      </c>
      <c r="Q13" t="s">
        <v>128</v>
      </c>
      <c r="R13" t="s">
        <v>121</v>
      </c>
      <c r="S13" t="s">
        <v>149</v>
      </c>
    </row>
    <row r="14" spans="1:19" hidden="1" x14ac:dyDescent="0.25">
      <c r="A14">
        <v>13</v>
      </c>
      <c r="B14" t="s">
        <v>156</v>
      </c>
      <c r="C14" t="s">
        <v>110</v>
      </c>
      <c r="D14" t="s">
        <v>111</v>
      </c>
      <c r="E14" t="s">
        <v>144</v>
      </c>
      <c r="F14" t="s">
        <v>151</v>
      </c>
      <c r="G14" t="s">
        <v>152</v>
      </c>
      <c r="H14" t="s">
        <v>116</v>
      </c>
      <c r="I14">
        <v>0</v>
      </c>
      <c r="J14" t="s">
        <v>116</v>
      </c>
      <c r="K14">
        <v>0</v>
      </c>
      <c r="L14" t="s">
        <v>124</v>
      </c>
      <c r="M14">
        <v>1</v>
      </c>
      <c r="N14" t="s">
        <v>118</v>
      </c>
      <c r="O14" t="s">
        <v>157</v>
      </c>
      <c r="P14" t="s">
        <v>417</v>
      </c>
      <c r="Q14" t="s">
        <v>416</v>
      </c>
      <c r="R14" t="s">
        <v>414</v>
      </c>
      <c r="S14" t="s">
        <v>166</v>
      </c>
    </row>
    <row r="15" spans="1:19" hidden="1" x14ac:dyDescent="0.25">
      <c r="A15">
        <v>14</v>
      </c>
      <c r="B15" t="s">
        <v>159</v>
      </c>
      <c r="C15" t="s">
        <v>110</v>
      </c>
      <c r="D15" t="s">
        <v>111</v>
      </c>
      <c r="E15" t="s">
        <v>144</v>
      </c>
      <c r="F15" t="s">
        <v>151</v>
      </c>
      <c r="G15" t="s">
        <v>152</v>
      </c>
      <c r="H15" t="s">
        <v>116</v>
      </c>
      <c r="I15">
        <v>0</v>
      </c>
      <c r="J15" t="s">
        <v>116</v>
      </c>
      <c r="K15">
        <v>0</v>
      </c>
      <c r="L15" t="s">
        <v>124</v>
      </c>
      <c r="M15">
        <v>1</v>
      </c>
      <c r="N15" t="s">
        <v>118</v>
      </c>
      <c r="O15" t="s">
        <v>157</v>
      </c>
      <c r="P15" t="s">
        <v>418</v>
      </c>
      <c r="Q15" t="s">
        <v>419</v>
      </c>
      <c r="R15" t="s">
        <v>160</v>
      </c>
      <c r="S15" t="s">
        <v>161</v>
      </c>
    </row>
    <row r="16" spans="1:19" hidden="1" x14ac:dyDescent="0.25">
      <c r="A16">
        <v>15</v>
      </c>
      <c r="B16" t="s">
        <v>162</v>
      </c>
      <c r="C16" t="s">
        <v>110</v>
      </c>
      <c r="D16" t="s">
        <v>111</v>
      </c>
      <c r="E16" t="s">
        <v>137</v>
      </c>
      <c r="F16" t="s">
        <v>151</v>
      </c>
      <c r="G16" t="s">
        <v>152</v>
      </c>
      <c r="H16" t="s">
        <v>116</v>
      </c>
      <c r="I16">
        <v>0</v>
      </c>
      <c r="J16" t="s">
        <v>116</v>
      </c>
      <c r="K16">
        <v>0</v>
      </c>
      <c r="L16" t="s">
        <v>124</v>
      </c>
      <c r="M16">
        <v>1</v>
      </c>
      <c r="N16" t="s">
        <v>118</v>
      </c>
      <c r="O16" t="s">
        <v>119</v>
      </c>
      <c r="P16" t="s">
        <v>415</v>
      </c>
      <c r="Q16" t="s">
        <v>163</v>
      </c>
      <c r="R16" t="s">
        <v>412</v>
      </c>
      <c r="S16" t="s">
        <v>164</v>
      </c>
    </row>
    <row r="17" spans="1:19" hidden="1" x14ac:dyDescent="0.25">
      <c r="A17">
        <v>16</v>
      </c>
      <c r="B17" t="s">
        <v>165</v>
      </c>
      <c r="C17" t="s">
        <v>110</v>
      </c>
      <c r="D17" t="s">
        <v>111</v>
      </c>
      <c r="E17" t="s">
        <v>137</v>
      </c>
      <c r="F17" t="s">
        <v>151</v>
      </c>
      <c r="G17" t="s">
        <v>152</v>
      </c>
      <c r="H17" t="s">
        <v>116</v>
      </c>
      <c r="I17">
        <v>0</v>
      </c>
      <c r="J17" t="s">
        <v>115</v>
      </c>
      <c r="K17">
        <v>1</v>
      </c>
      <c r="L17" t="s">
        <v>117</v>
      </c>
      <c r="M17">
        <v>0</v>
      </c>
      <c r="N17" t="s">
        <v>125</v>
      </c>
      <c r="O17" t="s">
        <v>126</v>
      </c>
      <c r="P17" t="s">
        <v>405</v>
      </c>
      <c r="Q17" t="s">
        <v>128</v>
      </c>
      <c r="R17" t="s">
        <v>413</v>
      </c>
      <c r="S17" t="s">
        <v>158</v>
      </c>
    </row>
    <row r="18" spans="1:19" hidden="1" x14ac:dyDescent="0.25">
      <c r="A18">
        <v>17</v>
      </c>
      <c r="B18" t="s">
        <v>167</v>
      </c>
      <c r="C18" t="s">
        <v>168</v>
      </c>
      <c r="D18" t="s">
        <v>169</v>
      </c>
      <c r="E18" t="s">
        <v>112</v>
      </c>
      <c r="F18" t="s">
        <v>113</v>
      </c>
      <c r="G18" t="s">
        <v>114</v>
      </c>
      <c r="H18" t="s">
        <v>115</v>
      </c>
      <c r="I18">
        <v>1</v>
      </c>
      <c r="J18" t="s">
        <v>116</v>
      </c>
      <c r="K18">
        <v>0</v>
      </c>
      <c r="L18" t="s">
        <v>117</v>
      </c>
      <c r="M18">
        <v>0</v>
      </c>
      <c r="N18" t="s">
        <v>118</v>
      </c>
      <c r="O18" t="s">
        <v>170</v>
      </c>
      <c r="P18" t="s">
        <v>423</v>
      </c>
      <c r="Q18" t="s">
        <v>420</v>
      </c>
      <c r="R18" t="s">
        <v>121</v>
      </c>
      <c r="S18" t="s">
        <v>171</v>
      </c>
    </row>
    <row r="19" spans="1:19" hidden="1" x14ac:dyDescent="0.25">
      <c r="A19">
        <v>18</v>
      </c>
      <c r="B19" t="s">
        <v>172</v>
      </c>
      <c r="C19" t="s">
        <v>168</v>
      </c>
      <c r="D19" t="s">
        <v>169</v>
      </c>
      <c r="E19" t="s">
        <v>112</v>
      </c>
      <c r="F19" t="s">
        <v>113</v>
      </c>
      <c r="G19" t="s">
        <v>114</v>
      </c>
      <c r="H19" t="s">
        <v>115</v>
      </c>
      <c r="I19">
        <v>1</v>
      </c>
      <c r="J19" t="s">
        <v>115</v>
      </c>
      <c r="K19">
        <v>1</v>
      </c>
      <c r="L19" t="s">
        <v>124</v>
      </c>
      <c r="M19">
        <v>1</v>
      </c>
      <c r="N19" t="s">
        <v>125</v>
      </c>
      <c r="O19" t="s">
        <v>173</v>
      </c>
      <c r="P19" t="s">
        <v>127</v>
      </c>
      <c r="Q19" t="s">
        <v>174</v>
      </c>
      <c r="R19" t="s">
        <v>121</v>
      </c>
      <c r="S19" t="s">
        <v>175</v>
      </c>
    </row>
    <row r="20" spans="1:19" hidden="1" x14ac:dyDescent="0.25">
      <c r="A20">
        <v>19</v>
      </c>
      <c r="B20" t="s">
        <v>176</v>
      </c>
      <c r="C20" t="s">
        <v>168</v>
      </c>
      <c r="D20" t="s">
        <v>169</v>
      </c>
      <c r="E20" t="s">
        <v>112</v>
      </c>
      <c r="F20" t="s">
        <v>113</v>
      </c>
      <c r="G20" t="s">
        <v>114</v>
      </c>
      <c r="H20" t="s">
        <v>115</v>
      </c>
      <c r="I20">
        <v>1</v>
      </c>
      <c r="J20" t="s">
        <v>115</v>
      </c>
      <c r="K20">
        <v>1</v>
      </c>
      <c r="L20" t="s">
        <v>124</v>
      </c>
      <c r="M20">
        <v>1</v>
      </c>
      <c r="N20" t="s">
        <v>125</v>
      </c>
      <c r="O20" t="s">
        <v>173</v>
      </c>
      <c r="P20" t="s">
        <v>141</v>
      </c>
      <c r="Q20" t="s">
        <v>174</v>
      </c>
      <c r="R20" t="s">
        <v>121</v>
      </c>
      <c r="S20" t="s">
        <v>177</v>
      </c>
    </row>
    <row r="21" spans="1:19" hidden="1" x14ac:dyDescent="0.25">
      <c r="A21">
        <v>20</v>
      </c>
      <c r="B21" t="s">
        <v>178</v>
      </c>
      <c r="C21" t="s">
        <v>168</v>
      </c>
      <c r="D21" t="s">
        <v>169</v>
      </c>
      <c r="E21" t="s">
        <v>112</v>
      </c>
      <c r="F21" t="s">
        <v>113</v>
      </c>
      <c r="G21" t="s">
        <v>114</v>
      </c>
      <c r="H21" t="s">
        <v>115</v>
      </c>
      <c r="I21">
        <v>1</v>
      </c>
      <c r="J21" t="s">
        <v>115</v>
      </c>
      <c r="K21">
        <v>1</v>
      </c>
      <c r="L21" t="s">
        <v>124</v>
      </c>
      <c r="M21">
        <v>1</v>
      </c>
      <c r="N21" t="s">
        <v>125</v>
      </c>
      <c r="O21" t="s">
        <v>173</v>
      </c>
      <c r="P21" t="s">
        <v>131</v>
      </c>
      <c r="Q21" t="s">
        <v>174</v>
      </c>
      <c r="R21" t="s">
        <v>121</v>
      </c>
      <c r="S21" t="s">
        <v>179</v>
      </c>
    </row>
    <row r="22" spans="1:19" hidden="1" x14ac:dyDescent="0.25">
      <c r="A22">
        <v>21</v>
      </c>
      <c r="B22" t="s">
        <v>180</v>
      </c>
      <c r="C22" t="s">
        <v>168</v>
      </c>
      <c r="D22" t="s">
        <v>169</v>
      </c>
      <c r="E22" t="s">
        <v>181</v>
      </c>
      <c r="F22" t="s">
        <v>113</v>
      </c>
      <c r="G22" t="s">
        <v>114</v>
      </c>
      <c r="H22" t="s">
        <v>116</v>
      </c>
      <c r="I22">
        <v>0</v>
      </c>
      <c r="J22" t="s">
        <v>116</v>
      </c>
      <c r="K22">
        <v>0</v>
      </c>
      <c r="L22" t="s">
        <v>124</v>
      </c>
      <c r="M22">
        <v>1</v>
      </c>
      <c r="N22" t="s">
        <v>118</v>
      </c>
      <c r="O22" t="s">
        <v>182</v>
      </c>
      <c r="P22" t="s">
        <v>183</v>
      </c>
      <c r="Q22" t="s">
        <v>184</v>
      </c>
      <c r="R22" t="s">
        <v>185</v>
      </c>
      <c r="S22" t="s">
        <v>186</v>
      </c>
    </row>
    <row r="23" spans="1:19" hidden="1" x14ac:dyDescent="0.25">
      <c r="A23">
        <v>22</v>
      </c>
      <c r="B23" t="s">
        <v>187</v>
      </c>
      <c r="C23" t="s">
        <v>168</v>
      </c>
      <c r="D23" t="s">
        <v>169</v>
      </c>
      <c r="E23" t="s">
        <v>181</v>
      </c>
      <c r="F23" t="s">
        <v>113</v>
      </c>
      <c r="G23" t="s">
        <v>114</v>
      </c>
      <c r="H23" t="s">
        <v>116</v>
      </c>
      <c r="I23">
        <v>0</v>
      </c>
      <c r="J23" t="s">
        <v>116</v>
      </c>
      <c r="K23">
        <v>0</v>
      </c>
      <c r="L23" t="s">
        <v>124</v>
      </c>
      <c r="M23">
        <v>1</v>
      </c>
      <c r="N23" t="s">
        <v>118</v>
      </c>
      <c r="O23" t="s">
        <v>170</v>
      </c>
      <c r="P23" t="s">
        <v>188</v>
      </c>
      <c r="Q23" t="s">
        <v>189</v>
      </c>
      <c r="R23" t="s">
        <v>190</v>
      </c>
      <c r="S23" t="s">
        <v>191</v>
      </c>
    </row>
    <row r="24" spans="1:19" hidden="1" x14ac:dyDescent="0.25">
      <c r="A24">
        <v>23</v>
      </c>
      <c r="B24" t="s">
        <v>192</v>
      </c>
      <c r="C24" t="s">
        <v>168</v>
      </c>
      <c r="D24" t="s">
        <v>169</v>
      </c>
      <c r="E24" t="s">
        <v>193</v>
      </c>
      <c r="F24" t="s">
        <v>113</v>
      </c>
      <c r="G24" t="s">
        <v>114</v>
      </c>
      <c r="H24" t="s">
        <v>116</v>
      </c>
      <c r="I24">
        <v>0</v>
      </c>
      <c r="J24" t="s">
        <v>115</v>
      </c>
      <c r="K24">
        <v>1</v>
      </c>
      <c r="L24" t="s">
        <v>117</v>
      </c>
      <c r="M24">
        <v>0</v>
      </c>
      <c r="N24" t="s">
        <v>125</v>
      </c>
      <c r="O24" t="s">
        <v>173</v>
      </c>
      <c r="P24" t="s">
        <v>426</v>
      </c>
      <c r="Q24" t="s">
        <v>428</v>
      </c>
      <c r="R24" t="s">
        <v>194</v>
      </c>
      <c r="S24" t="s">
        <v>195</v>
      </c>
    </row>
    <row r="25" spans="1:19" hidden="1" x14ac:dyDescent="0.25">
      <c r="A25">
        <v>24</v>
      </c>
      <c r="B25" t="s">
        <v>196</v>
      </c>
      <c r="C25" t="s">
        <v>168</v>
      </c>
      <c r="D25" t="s">
        <v>169</v>
      </c>
      <c r="E25" t="s">
        <v>197</v>
      </c>
      <c r="F25" t="s">
        <v>113</v>
      </c>
      <c r="G25" t="s">
        <v>114</v>
      </c>
      <c r="H25" t="s">
        <v>116</v>
      </c>
      <c r="I25">
        <v>0</v>
      </c>
      <c r="J25" t="s">
        <v>116</v>
      </c>
      <c r="K25">
        <v>0</v>
      </c>
      <c r="L25" t="s">
        <v>124</v>
      </c>
      <c r="M25">
        <v>1</v>
      </c>
      <c r="N25" t="s">
        <v>118</v>
      </c>
      <c r="O25" t="s">
        <v>198</v>
      </c>
      <c r="P25" t="s">
        <v>199</v>
      </c>
      <c r="Q25" t="s">
        <v>200</v>
      </c>
      <c r="R25" t="s">
        <v>201</v>
      </c>
      <c r="S25" t="s">
        <v>202</v>
      </c>
    </row>
    <row r="26" spans="1:19" hidden="1" x14ac:dyDescent="0.25">
      <c r="A26">
        <v>25</v>
      </c>
      <c r="B26" t="s">
        <v>203</v>
      </c>
      <c r="C26" t="s">
        <v>168</v>
      </c>
      <c r="D26" t="s">
        <v>169</v>
      </c>
      <c r="E26" t="s">
        <v>112</v>
      </c>
      <c r="F26" t="s">
        <v>151</v>
      </c>
      <c r="G26" t="s">
        <v>152</v>
      </c>
      <c r="H26" t="s">
        <v>115</v>
      </c>
      <c r="I26">
        <v>1</v>
      </c>
      <c r="J26" t="s">
        <v>116</v>
      </c>
      <c r="K26">
        <v>0</v>
      </c>
      <c r="L26" t="s">
        <v>117</v>
      </c>
      <c r="M26">
        <v>0</v>
      </c>
      <c r="N26" t="s">
        <v>118</v>
      </c>
      <c r="O26" t="s">
        <v>170</v>
      </c>
      <c r="P26" t="s">
        <v>424</v>
      </c>
      <c r="Q26" t="s">
        <v>425</v>
      </c>
      <c r="R26" t="s">
        <v>121</v>
      </c>
      <c r="S26" t="s">
        <v>204</v>
      </c>
    </row>
    <row r="27" spans="1:19" hidden="1" x14ac:dyDescent="0.25">
      <c r="A27">
        <v>26</v>
      </c>
      <c r="B27" t="s">
        <v>205</v>
      </c>
      <c r="C27" t="s">
        <v>168</v>
      </c>
      <c r="D27" t="s">
        <v>169</v>
      </c>
      <c r="E27" t="s">
        <v>112</v>
      </c>
      <c r="F27" t="s">
        <v>151</v>
      </c>
      <c r="G27" t="s">
        <v>152</v>
      </c>
      <c r="H27" t="s">
        <v>115</v>
      </c>
      <c r="I27">
        <v>1</v>
      </c>
      <c r="J27" t="s">
        <v>115</v>
      </c>
      <c r="K27">
        <v>1</v>
      </c>
      <c r="L27" t="s">
        <v>124</v>
      </c>
      <c r="M27">
        <v>1</v>
      </c>
      <c r="N27" t="s">
        <v>125</v>
      </c>
      <c r="O27" t="s">
        <v>173</v>
      </c>
      <c r="P27" t="s">
        <v>134</v>
      </c>
      <c r="Q27" t="s">
        <v>174</v>
      </c>
      <c r="R27" t="s">
        <v>121</v>
      </c>
      <c r="S27" t="s">
        <v>206</v>
      </c>
    </row>
    <row r="28" spans="1:19" hidden="1" x14ac:dyDescent="0.25">
      <c r="A28">
        <v>27</v>
      </c>
      <c r="B28" t="s">
        <v>207</v>
      </c>
      <c r="C28" t="s">
        <v>168</v>
      </c>
      <c r="D28" t="s">
        <v>169</v>
      </c>
      <c r="E28" t="s">
        <v>112</v>
      </c>
      <c r="F28" t="s">
        <v>151</v>
      </c>
      <c r="G28" t="s">
        <v>152</v>
      </c>
      <c r="H28" t="s">
        <v>115</v>
      </c>
      <c r="I28">
        <v>1</v>
      </c>
      <c r="J28" t="s">
        <v>115</v>
      </c>
      <c r="K28">
        <v>1</v>
      </c>
      <c r="L28" t="s">
        <v>124</v>
      </c>
      <c r="M28">
        <v>1</v>
      </c>
      <c r="N28" t="s">
        <v>125</v>
      </c>
      <c r="O28" t="s">
        <v>173</v>
      </c>
      <c r="P28" t="s">
        <v>141</v>
      </c>
      <c r="Q28" t="s">
        <v>174</v>
      </c>
      <c r="R28" t="s">
        <v>121</v>
      </c>
      <c r="S28" t="s">
        <v>208</v>
      </c>
    </row>
    <row r="29" spans="1:19" hidden="1" x14ac:dyDescent="0.25">
      <c r="A29">
        <v>28</v>
      </c>
      <c r="B29" t="s">
        <v>209</v>
      </c>
      <c r="C29" t="s">
        <v>168</v>
      </c>
      <c r="D29" t="s">
        <v>169</v>
      </c>
      <c r="E29" t="s">
        <v>112</v>
      </c>
      <c r="F29" t="s">
        <v>151</v>
      </c>
      <c r="G29" t="s">
        <v>152</v>
      </c>
      <c r="H29" t="s">
        <v>115</v>
      </c>
      <c r="I29">
        <v>1</v>
      </c>
      <c r="J29" t="s">
        <v>115</v>
      </c>
      <c r="K29">
        <v>1</v>
      </c>
      <c r="L29" t="s">
        <v>124</v>
      </c>
      <c r="M29">
        <v>1</v>
      </c>
      <c r="N29" t="s">
        <v>125</v>
      </c>
      <c r="O29" t="s">
        <v>173</v>
      </c>
      <c r="P29" t="s">
        <v>210</v>
      </c>
      <c r="Q29" t="s">
        <v>174</v>
      </c>
      <c r="R29" t="s">
        <v>121</v>
      </c>
      <c r="S29" t="s">
        <v>211</v>
      </c>
    </row>
    <row r="30" spans="1:19" hidden="1" x14ac:dyDescent="0.25">
      <c r="A30">
        <v>29</v>
      </c>
      <c r="B30" t="s">
        <v>212</v>
      </c>
      <c r="C30" t="s">
        <v>168</v>
      </c>
      <c r="D30" t="s">
        <v>169</v>
      </c>
      <c r="E30" t="s">
        <v>197</v>
      </c>
      <c r="F30" t="s">
        <v>151</v>
      </c>
      <c r="G30" t="s">
        <v>152</v>
      </c>
      <c r="H30" t="s">
        <v>116</v>
      </c>
      <c r="I30">
        <v>0</v>
      </c>
      <c r="J30" t="s">
        <v>116</v>
      </c>
      <c r="K30">
        <v>0</v>
      </c>
      <c r="L30" t="s">
        <v>124</v>
      </c>
      <c r="M30">
        <v>1</v>
      </c>
      <c r="N30" t="s">
        <v>118</v>
      </c>
      <c r="O30" t="s">
        <v>170</v>
      </c>
      <c r="P30" t="s">
        <v>213</v>
      </c>
      <c r="Q30" t="s">
        <v>214</v>
      </c>
      <c r="R30" t="s">
        <v>215</v>
      </c>
      <c r="S30" t="s">
        <v>216</v>
      </c>
    </row>
    <row r="31" spans="1:19" hidden="1" x14ac:dyDescent="0.25">
      <c r="A31">
        <v>30</v>
      </c>
      <c r="B31" t="s">
        <v>217</v>
      </c>
      <c r="C31" t="s">
        <v>168</v>
      </c>
      <c r="D31" t="s">
        <v>169</v>
      </c>
      <c r="E31" t="s">
        <v>197</v>
      </c>
      <c r="F31" t="s">
        <v>151</v>
      </c>
      <c r="G31" t="s">
        <v>152</v>
      </c>
      <c r="H31" t="s">
        <v>116</v>
      </c>
      <c r="I31">
        <v>0</v>
      </c>
      <c r="J31" t="s">
        <v>116</v>
      </c>
      <c r="K31">
        <v>0</v>
      </c>
      <c r="L31" t="s">
        <v>124</v>
      </c>
      <c r="M31">
        <v>1</v>
      </c>
      <c r="N31" t="s">
        <v>118</v>
      </c>
      <c r="O31" t="s">
        <v>198</v>
      </c>
      <c r="P31" t="s">
        <v>218</v>
      </c>
      <c r="Q31" t="s">
        <v>219</v>
      </c>
      <c r="R31" t="s">
        <v>220</v>
      </c>
      <c r="S31" t="s">
        <v>221</v>
      </c>
    </row>
    <row r="32" spans="1:19" hidden="1" x14ac:dyDescent="0.25">
      <c r="A32">
        <v>31</v>
      </c>
      <c r="B32" t="s">
        <v>222</v>
      </c>
      <c r="C32" t="s">
        <v>168</v>
      </c>
      <c r="D32" t="s">
        <v>169</v>
      </c>
      <c r="E32" t="s">
        <v>223</v>
      </c>
      <c r="F32" t="s">
        <v>151</v>
      </c>
      <c r="G32" t="s">
        <v>152</v>
      </c>
      <c r="H32" t="s">
        <v>116</v>
      </c>
      <c r="I32">
        <v>0</v>
      </c>
      <c r="J32" t="s">
        <v>115</v>
      </c>
      <c r="K32">
        <v>1</v>
      </c>
      <c r="L32" t="s">
        <v>117</v>
      </c>
      <c r="M32">
        <v>0</v>
      </c>
      <c r="N32" t="s">
        <v>125</v>
      </c>
      <c r="O32" t="s">
        <v>173</v>
      </c>
      <c r="P32" t="s">
        <v>427</v>
      </c>
      <c r="Q32" t="s">
        <v>428</v>
      </c>
      <c r="R32" t="s">
        <v>224</v>
      </c>
      <c r="S32" t="s">
        <v>225</v>
      </c>
    </row>
    <row r="33" spans="1:19" hidden="1" x14ac:dyDescent="0.25">
      <c r="A33">
        <v>32</v>
      </c>
      <c r="B33" t="s">
        <v>226</v>
      </c>
      <c r="C33" t="s">
        <v>168</v>
      </c>
      <c r="D33" t="s">
        <v>169</v>
      </c>
      <c r="E33" t="s">
        <v>223</v>
      </c>
      <c r="F33" t="s">
        <v>151</v>
      </c>
      <c r="G33" t="s">
        <v>152</v>
      </c>
      <c r="H33" t="s">
        <v>116</v>
      </c>
      <c r="I33">
        <v>0</v>
      </c>
      <c r="J33" t="s">
        <v>116</v>
      </c>
      <c r="K33">
        <v>0</v>
      </c>
      <c r="L33" t="s">
        <v>124</v>
      </c>
      <c r="M33">
        <v>1</v>
      </c>
      <c r="N33" t="s">
        <v>118</v>
      </c>
      <c r="O33" t="s">
        <v>170</v>
      </c>
      <c r="P33" t="s">
        <v>227</v>
      </c>
      <c r="Q33" t="s">
        <v>228</v>
      </c>
      <c r="R33" t="s">
        <v>229</v>
      </c>
      <c r="S33" t="s">
        <v>230</v>
      </c>
    </row>
    <row r="34" spans="1:19" hidden="1" x14ac:dyDescent="0.25">
      <c r="A34">
        <v>33</v>
      </c>
      <c r="B34" t="s">
        <v>231</v>
      </c>
      <c r="C34" t="s">
        <v>232</v>
      </c>
      <c r="D34" t="s">
        <v>233</v>
      </c>
      <c r="E34" t="s">
        <v>112</v>
      </c>
      <c r="F34" t="s">
        <v>113</v>
      </c>
      <c r="G34" t="s">
        <v>114</v>
      </c>
      <c r="H34" t="s">
        <v>115</v>
      </c>
      <c r="I34">
        <v>1</v>
      </c>
      <c r="J34" t="s">
        <v>115</v>
      </c>
      <c r="K34">
        <v>1</v>
      </c>
      <c r="L34" t="s">
        <v>124</v>
      </c>
      <c r="M34">
        <v>1</v>
      </c>
      <c r="N34" t="s">
        <v>125</v>
      </c>
      <c r="O34" t="s">
        <v>234</v>
      </c>
      <c r="P34" t="s">
        <v>127</v>
      </c>
      <c r="Q34" t="s">
        <v>235</v>
      </c>
      <c r="R34" t="s">
        <v>121</v>
      </c>
      <c r="S34" t="s">
        <v>236</v>
      </c>
    </row>
    <row r="35" spans="1:19" hidden="1" x14ac:dyDescent="0.25">
      <c r="A35">
        <v>34</v>
      </c>
      <c r="B35" t="s">
        <v>237</v>
      </c>
      <c r="C35" t="s">
        <v>232</v>
      </c>
      <c r="D35" t="s">
        <v>233</v>
      </c>
      <c r="E35" t="s">
        <v>112</v>
      </c>
      <c r="F35" t="s">
        <v>113</v>
      </c>
      <c r="G35" t="s">
        <v>114</v>
      </c>
      <c r="H35" t="s">
        <v>115</v>
      </c>
      <c r="I35">
        <v>1</v>
      </c>
      <c r="J35" t="s">
        <v>116</v>
      </c>
      <c r="K35">
        <v>0</v>
      </c>
      <c r="L35" t="s">
        <v>117</v>
      </c>
      <c r="M35">
        <v>0</v>
      </c>
      <c r="N35" t="s">
        <v>118</v>
      </c>
      <c r="O35" t="s">
        <v>238</v>
      </c>
      <c r="P35" t="s">
        <v>145</v>
      </c>
      <c r="Q35" t="s">
        <v>120</v>
      </c>
      <c r="R35" t="s">
        <v>121</v>
      </c>
      <c r="S35" t="s">
        <v>239</v>
      </c>
    </row>
    <row r="36" spans="1:19" hidden="1" x14ac:dyDescent="0.25">
      <c r="A36">
        <v>35</v>
      </c>
      <c r="B36" t="s">
        <v>240</v>
      </c>
      <c r="C36" t="s">
        <v>232</v>
      </c>
      <c r="D36" t="s">
        <v>233</v>
      </c>
      <c r="E36" t="s">
        <v>112</v>
      </c>
      <c r="F36" t="s">
        <v>113</v>
      </c>
      <c r="G36" t="s">
        <v>114</v>
      </c>
      <c r="H36" t="s">
        <v>115</v>
      </c>
      <c r="I36">
        <v>1</v>
      </c>
      <c r="J36" t="s">
        <v>115</v>
      </c>
      <c r="K36">
        <v>1</v>
      </c>
      <c r="L36" t="s">
        <v>124</v>
      </c>
      <c r="M36">
        <v>1</v>
      </c>
      <c r="N36" t="s">
        <v>125</v>
      </c>
      <c r="O36" t="s">
        <v>234</v>
      </c>
      <c r="P36" t="s">
        <v>148</v>
      </c>
      <c r="Q36" t="s">
        <v>235</v>
      </c>
      <c r="R36" t="s">
        <v>121</v>
      </c>
      <c r="S36" t="s">
        <v>241</v>
      </c>
    </row>
    <row r="37" spans="1:19" hidden="1" x14ac:dyDescent="0.25">
      <c r="A37">
        <v>36</v>
      </c>
      <c r="B37" t="s">
        <v>242</v>
      </c>
      <c r="C37" t="s">
        <v>232</v>
      </c>
      <c r="D37" t="s">
        <v>233</v>
      </c>
      <c r="E37" t="s">
        <v>112</v>
      </c>
      <c r="F37" t="s">
        <v>113</v>
      </c>
      <c r="G37" t="s">
        <v>114</v>
      </c>
      <c r="H37" t="s">
        <v>115</v>
      </c>
      <c r="I37">
        <v>1</v>
      </c>
      <c r="J37" t="s">
        <v>115</v>
      </c>
      <c r="K37">
        <v>1</v>
      </c>
      <c r="L37" t="s">
        <v>124</v>
      </c>
      <c r="M37">
        <v>1</v>
      </c>
      <c r="N37" t="s">
        <v>125</v>
      </c>
      <c r="O37" t="s">
        <v>234</v>
      </c>
      <c r="P37" t="s">
        <v>131</v>
      </c>
      <c r="Q37" t="s">
        <v>235</v>
      </c>
      <c r="R37" t="s">
        <v>121</v>
      </c>
      <c r="S37" t="s">
        <v>243</v>
      </c>
    </row>
    <row r="38" spans="1:19" hidden="1" x14ac:dyDescent="0.25">
      <c r="A38">
        <v>37</v>
      </c>
      <c r="B38" t="s">
        <v>244</v>
      </c>
      <c r="C38" t="s">
        <v>232</v>
      </c>
      <c r="D38" t="s">
        <v>233</v>
      </c>
      <c r="E38" t="s">
        <v>245</v>
      </c>
      <c r="F38" t="s">
        <v>113</v>
      </c>
      <c r="G38" t="s">
        <v>114</v>
      </c>
      <c r="H38" t="s">
        <v>116</v>
      </c>
      <c r="I38">
        <v>0</v>
      </c>
      <c r="J38" t="s">
        <v>116</v>
      </c>
      <c r="K38">
        <v>0</v>
      </c>
      <c r="L38" t="s">
        <v>124</v>
      </c>
      <c r="M38">
        <v>1</v>
      </c>
      <c r="N38" t="s">
        <v>118</v>
      </c>
      <c r="O38" t="s">
        <v>246</v>
      </c>
      <c r="P38" t="s">
        <v>247</v>
      </c>
      <c r="Q38" t="s">
        <v>248</v>
      </c>
      <c r="R38" t="s">
        <v>249</v>
      </c>
      <c r="S38" t="s">
        <v>250</v>
      </c>
    </row>
    <row r="39" spans="1:19" hidden="1" x14ac:dyDescent="0.25">
      <c r="A39">
        <v>38</v>
      </c>
      <c r="B39" t="s">
        <v>251</v>
      </c>
      <c r="C39" t="s">
        <v>232</v>
      </c>
      <c r="D39" t="s">
        <v>233</v>
      </c>
      <c r="E39" t="s">
        <v>252</v>
      </c>
      <c r="F39" t="s">
        <v>113</v>
      </c>
      <c r="G39" t="s">
        <v>114</v>
      </c>
      <c r="H39" t="s">
        <v>116</v>
      </c>
      <c r="I39">
        <v>0</v>
      </c>
      <c r="J39" t="s">
        <v>116</v>
      </c>
      <c r="K39">
        <v>0</v>
      </c>
      <c r="L39" t="s">
        <v>124</v>
      </c>
      <c r="M39">
        <v>1</v>
      </c>
      <c r="N39" t="s">
        <v>118</v>
      </c>
      <c r="O39" t="s">
        <v>253</v>
      </c>
      <c r="P39" t="s">
        <v>254</v>
      </c>
      <c r="Q39" t="s">
        <v>255</v>
      </c>
      <c r="R39" t="s">
        <v>256</v>
      </c>
      <c r="S39" t="s">
        <v>257</v>
      </c>
    </row>
    <row r="40" spans="1:19" hidden="1" x14ac:dyDescent="0.25">
      <c r="A40">
        <v>39</v>
      </c>
      <c r="B40" t="s">
        <v>258</v>
      </c>
      <c r="C40" t="s">
        <v>232</v>
      </c>
      <c r="D40" t="s">
        <v>233</v>
      </c>
      <c r="E40" t="s">
        <v>252</v>
      </c>
      <c r="F40" t="s">
        <v>113</v>
      </c>
      <c r="G40" t="s">
        <v>114</v>
      </c>
      <c r="H40" t="s">
        <v>116</v>
      </c>
      <c r="I40">
        <v>0</v>
      </c>
      <c r="J40" t="s">
        <v>115</v>
      </c>
      <c r="K40">
        <v>1</v>
      </c>
      <c r="L40" t="s">
        <v>117</v>
      </c>
      <c r="M40">
        <v>0</v>
      </c>
      <c r="N40" t="s">
        <v>125</v>
      </c>
      <c r="O40" t="s">
        <v>234</v>
      </c>
      <c r="P40" t="s">
        <v>429</v>
      </c>
      <c r="Q40" t="s">
        <v>428</v>
      </c>
      <c r="R40" t="s">
        <v>259</v>
      </c>
      <c r="S40" t="s">
        <v>260</v>
      </c>
    </row>
    <row r="41" spans="1:19" hidden="1" x14ac:dyDescent="0.25">
      <c r="A41">
        <v>40</v>
      </c>
      <c r="B41" t="s">
        <v>261</v>
      </c>
      <c r="C41" t="s">
        <v>232</v>
      </c>
      <c r="D41" t="s">
        <v>233</v>
      </c>
      <c r="E41" t="s">
        <v>252</v>
      </c>
      <c r="F41" t="s">
        <v>113</v>
      </c>
      <c r="G41" t="s">
        <v>114</v>
      </c>
      <c r="H41" t="s">
        <v>116</v>
      </c>
      <c r="I41">
        <v>0</v>
      </c>
      <c r="J41" t="s">
        <v>116</v>
      </c>
      <c r="K41">
        <v>0</v>
      </c>
      <c r="L41" t="s">
        <v>124</v>
      </c>
      <c r="M41">
        <v>1</v>
      </c>
      <c r="N41" t="s">
        <v>118</v>
      </c>
      <c r="O41" t="s">
        <v>262</v>
      </c>
      <c r="P41" t="s">
        <v>430</v>
      </c>
      <c r="Q41" t="s">
        <v>263</v>
      </c>
      <c r="R41" t="s">
        <v>264</v>
      </c>
      <c r="S41" t="s">
        <v>265</v>
      </c>
    </row>
    <row r="42" spans="1:19" x14ac:dyDescent="0.25">
      <c r="A42">
        <v>41</v>
      </c>
      <c r="B42" t="s">
        <v>266</v>
      </c>
      <c r="C42" t="s">
        <v>232</v>
      </c>
      <c r="D42" t="s">
        <v>233</v>
      </c>
      <c r="E42" t="s">
        <v>422</v>
      </c>
      <c r="F42" t="s">
        <v>151</v>
      </c>
      <c r="G42" t="s">
        <v>152</v>
      </c>
      <c r="H42" t="s">
        <v>115</v>
      </c>
      <c r="I42">
        <v>1</v>
      </c>
      <c r="J42" t="s">
        <v>115</v>
      </c>
      <c r="K42">
        <v>1</v>
      </c>
      <c r="L42" t="s">
        <v>124</v>
      </c>
      <c r="M42">
        <v>1</v>
      </c>
      <c r="N42" t="s">
        <v>125</v>
      </c>
      <c r="O42" t="s">
        <v>234</v>
      </c>
      <c r="P42" t="s">
        <v>131</v>
      </c>
      <c r="Q42" t="s">
        <v>235</v>
      </c>
      <c r="R42" t="s">
        <v>121</v>
      </c>
      <c r="S42" t="s">
        <v>433</v>
      </c>
    </row>
    <row r="43" spans="1:19" x14ac:dyDescent="0.25">
      <c r="A43">
        <v>42</v>
      </c>
      <c r="B43" t="s">
        <v>271</v>
      </c>
      <c r="C43" t="s">
        <v>232</v>
      </c>
      <c r="D43" t="s">
        <v>233</v>
      </c>
      <c r="E43" t="s">
        <v>422</v>
      </c>
      <c r="F43" t="s">
        <v>151</v>
      </c>
      <c r="G43" t="s">
        <v>152</v>
      </c>
      <c r="H43" t="s">
        <v>115</v>
      </c>
      <c r="I43">
        <v>1</v>
      </c>
      <c r="J43" t="s">
        <v>115</v>
      </c>
      <c r="K43">
        <v>1</v>
      </c>
      <c r="L43" t="s">
        <v>124</v>
      </c>
      <c r="M43">
        <v>1</v>
      </c>
      <c r="N43" t="s">
        <v>125</v>
      </c>
      <c r="O43" t="s">
        <v>234</v>
      </c>
      <c r="P43" t="s">
        <v>131</v>
      </c>
      <c r="Q43" t="s">
        <v>235</v>
      </c>
      <c r="R43" t="s">
        <v>121</v>
      </c>
      <c r="S43" t="s">
        <v>434</v>
      </c>
    </row>
    <row r="44" spans="1:19" x14ac:dyDescent="0.25">
      <c r="A44">
        <v>43</v>
      </c>
      <c r="B44" t="s">
        <v>277</v>
      </c>
      <c r="C44" t="s">
        <v>232</v>
      </c>
      <c r="D44" t="s">
        <v>233</v>
      </c>
      <c r="E44" t="s">
        <v>245</v>
      </c>
      <c r="F44" t="s">
        <v>151</v>
      </c>
      <c r="G44" t="s">
        <v>152</v>
      </c>
      <c r="H44" t="s">
        <v>116</v>
      </c>
      <c r="I44">
        <v>0</v>
      </c>
      <c r="J44" t="s">
        <v>116</v>
      </c>
      <c r="K44">
        <v>0</v>
      </c>
      <c r="L44" t="s">
        <v>124</v>
      </c>
      <c r="M44">
        <v>1</v>
      </c>
      <c r="N44" t="s">
        <v>118</v>
      </c>
      <c r="O44" t="s">
        <v>267</v>
      </c>
      <c r="P44" t="s">
        <v>431</v>
      </c>
      <c r="Q44" t="s">
        <v>268</v>
      </c>
      <c r="R44" t="s">
        <v>278</v>
      </c>
      <c r="S44" t="s">
        <v>279</v>
      </c>
    </row>
    <row r="45" spans="1:19" x14ac:dyDescent="0.25">
      <c r="A45">
        <v>44</v>
      </c>
      <c r="B45" t="s">
        <v>280</v>
      </c>
      <c r="C45" t="s">
        <v>232</v>
      </c>
      <c r="D45" t="s">
        <v>233</v>
      </c>
      <c r="E45" t="s">
        <v>223</v>
      </c>
      <c r="F45" t="s">
        <v>151</v>
      </c>
      <c r="G45" t="s">
        <v>152</v>
      </c>
      <c r="H45" t="s">
        <v>116</v>
      </c>
      <c r="I45">
        <v>0</v>
      </c>
      <c r="J45" t="s">
        <v>116</v>
      </c>
      <c r="K45">
        <v>0</v>
      </c>
      <c r="L45" t="s">
        <v>124</v>
      </c>
      <c r="M45">
        <v>1</v>
      </c>
      <c r="N45" t="s">
        <v>118</v>
      </c>
      <c r="O45" t="s">
        <v>238</v>
      </c>
      <c r="P45" t="s">
        <v>282</v>
      </c>
      <c r="Q45" t="s">
        <v>283</v>
      </c>
      <c r="R45" t="s">
        <v>284</v>
      </c>
      <c r="S45" t="s">
        <v>285</v>
      </c>
    </row>
    <row r="46" spans="1:19" x14ac:dyDescent="0.25">
      <c r="A46">
        <v>45</v>
      </c>
      <c r="B46" t="s">
        <v>286</v>
      </c>
      <c r="C46" t="s">
        <v>232</v>
      </c>
      <c r="D46" t="s">
        <v>233</v>
      </c>
      <c r="E46" t="s">
        <v>245</v>
      </c>
      <c r="F46" t="s">
        <v>151</v>
      </c>
      <c r="G46" t="s">
        <v>152</v>
      </c>
      <c r="H46" t="s">
        <v>116</v>
      </c>
      <c r="I46">
        <v>0</v>
      </c>
      <c r="J46" t="s">
        <v>115</v>
      </c>
      <c r="K46">
        <v>1</v>
      </c>
      <c r="L46" t="s">
        <v>124</v>
      </c>
      <c r="M46">
        <v>0</v>
      </c>
      <c r="N46" t="s">
        <v>125</v>
      </c>
      <c r="O46" t="s">
        <v>234</v>
      </c>
      <c r="P46" t="s">
        <v>432</v>
      </c>
      <c r="Q46" t="s">
        <v>428</v>
      </c>
      <c r="R46" t="s">
        <v>269</v>
      </c>
      <c r="S46" t="s">
        <v>270</v>
      </c>
    </row>
    <row r="47" spans="1:19" x14ac:dyDescent="0.25">
      <c r="A47">
        <v>46</v>
      </c>
      <c r="B47" t="s">
        <v>287</v>
      </c>
      <c r="C47" t="s">
        <v>232</v>
      </c>
      <c r="D47" t="s">
        <v>233</v>
      </c>
      <c r="E47" t="s">
        <v>281</v>
      </c>
      <c r="F47" t="s">
        <v>151</v>
      </c>
      <c r="G47" t="s">
        <v>152</v>
      </c>
      <c r="H47" t="s">
        <v>116</v>
      </c>
      <c r="I47">
        <v>0</v>
      </c>
      <c r="J47" t="s">
        <v>116</v>
      </c>
      <c r="K47">
        <v>0</v>
      </c>
      <c r="L47" t="s">
        <v>124</v>
      </c>
      <c r="M47">
        <v>1</v>
      </c>
      <c r="N47" t="s">
        <v>118</v>
      </c>
      <c r="O47" t="s">
        <v>272</v>
      </c>
      <c r="P47" t="s">
        <v>273</v>
      </c>
      <c r="Q47" t="s">
        <v>274</v>
      </c>
      <c r="R47" t="s">
        <v>275</v>
      </c>
      <c r="S47" t="s">
        <v>276</v>
      </c>
    </row>
    <row r="48" spans="1:19" x14ac:dyDescent="0.25">
      <c r="A48">
        <v>47</v>
      </c>
      <c r="B48" t="s">
        <v>288</v>
      </c>
      <c r="C48" t="s">
        <v>232</v>
      </c>
      <c r="D48" t="s">
        <v>233</v>
      </c>
      <c r="E48" t="s">
        <v>422</v>
      </c>
      <c r="F48" t="s">
        <v>151</v>
      </c>
      <c r="G48" t="s">
        <v>152</v>
      </c>
      <c r="H48" t="s">
        <v>115</v>
      </c>
      <c r="I48">
        <v>1</v>
      </c>
      <c r="J48" t="s">
        <v>116</v>
      </c>
      <c r="K48">
        <v>0</v>
      </c>
      <c r="L48" t="s">
        <v>117</v>
      </c>
      <c r="M48">
        <v>0</v>
      </c>
      <c r="N48" t="s">
        <v>118</v>
      </c>
      <c r="O48" t="s">
        <v>272</v>
      </c>
      <c r="P48" t="s">
        <v>273</v>
      </c>
      <c r="Q48" t="s">
        <v>274</v>
      </c>
      <c r="R48" t="s">
        <v>121</v>
      </c>
      <c r="S48" t="s">
        <v>435</v>
      </c>
    </row>
    <row r="49" spans="1:19" x14ac:dyDescent="0.25">
      <c r="A49">
        <v>48</v>
      </c>
      <c r="B49" t="s">
        <v>289</v>
      </c>
      <c r="C49" t="s">
        <v>232</v>
      </c>
      <c r="D49" t="s">
        <v>233</v>
      </c>
      <c r="E49" t="s">
        <v>422</v>
      </c>
      <c r="F49" t="s">
        <v>151</v>
      </c>
      <c r="G49" t="s">
        <v>152</v>
      </c>
      <c r="H49" t="s">
        <v>115</v>
      </c>
      <c r="I49">
        <v>1</v>
      </c>
      <c r="J49" t="s">
        <v>115</v>
      </c>
      <c r="K49">
        <v>1</v>
      </c>
      <c r="L49" t="s">
        <v>124</v>
      </c>
      <c r="M49">
        <v>1</v>
      </c>
      <c r="N49" t="s">
        <v>125</v>
      </c>
      <c r="O49" t="s">
        <v>234</v>
      </c>
      <c r="P49" t="s">
        <v>131</v>
      </c>
      <c r="Q49" t="s">
        <v>235</v>
      </c>
      <c r="R49" t="s">
        <v>121</v>
      </c>
      <c r="S49" t="s">
        <v>436</v>
      </c>
    </row>
    <row r="50" spans="1:19" hidden="1" x14ac:dyDescent="0.25"/>
    <row r="51" spans="1:19" hidden="1" x14ac:dyDescent="0.25"/>
  </sheetData>
  <autoFilter ref="A1:S51" xr:uid="{00000000-0001-0000-0200-000000000000}">
    <filterColumn colId="3">
      <filters>
        <filter val="金属螺母"/>
      </filters>
    </filterColumn>
    <filterColumn colId="5">
      <filters>
        <filter val="高复杂"/>
      </filters>
    </filterColumn>
  </autoFilter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49"/>
  <sheetViews>
    <sheetView tabSelected="1" topLeftCell="Z1" zoomScale="80" zoomScaleNormal="80" workbookViewId="0">
      <selection activeCell="AA24" sqref="AA24"/>
    </sheetView>
  </sheetViews>
  <sheetFormatPr defaultColWidth="36.54296875" defaultRowHeight="14" x14ac:dyDescent="0.25"/>
  <cols>
    <col min="1" max="1" width="9.81640625" style="1" bestFit="1" customWidth="1"/>
    <col min="2" max="2" width="11.81640625" style="1" bestFit="1" customWidth="1"/>
    <col min="3" max="3" width="13.81640625" style="1" bestFit="1" customWidth="1"/>
    <col min="4" max="4" width="15" style="1" customWidth="1"/>
    <col min="5" max="5" width="10" style="1" customWidth="1"/>
    <col min="6" max="6" width="9.6328125" style="1" customWidth="1"/>
    <col min="7" max="7" width="13.26953125" style="1" customWidth="1"/>
    <col min="8" max="8" width="26.36328125" style="1" customWidth="1"/>
    <col min="9" max="9" width="19.1796875" style="1" bestFit="1" customWidth="1"/>
    <col min="10" max="10" width="20.26953125" style="1" bestFit="1" customWidth="1"/>
    <col min="11" max="11" width="15.90625" style="1" bestFit="1" customWidth="1"/>
    <col min="12" max="12" width="18.08984375" style="1" bestFit="1" customWidth="1"/>
    <col min="13" max="13" width="20.26953125" style="1" bestFit="1" customWidth="1"/>
    <col min="14" max="14" width="17" style="1" bestFit="1" customWidth="1"/>
    <col min="15" max="15" width="24.54296875" style="1" bestFit="1" customWidth="1"/>
    <col min="16" max="17" width="20.26953125" style="1" bestFit="1" customWidth="1"/>
    <col min="18" max="18" width="22.453125" style="1" customWidth="1"/>
    <col min="19" max="19" width="23.453125" style="1" customWidth="1"/>
    <col min="20" max="20" width="19.1796875" style="1" customWidth="1"/>
    <col min="21" max="21" width="24.54296875" style="1" customWidth="1"/>
    <col min="22" max="22" width="25.6328125" style="1" customWidth="1"/>
    <col min="23" max="23" width="21.36328125" style="1" customWidth="1"/>
    <col min="24" max="24" width="21.36328125" style="1" bestFit="1" customWidth="1"/>
    <col min="25" max="25" width="22.453125" style="1" bestFit="1" customWidth="1"/>
    <col min="26" max="26" width="72.90625" style="1" bestFit="1" customWidth="1"/>
    <col min="27" max="27" width="126.90625" style="1" bestFit="1" customWidth="1"/>
    <col min="28" max="28" width="58.90625" style="1" bestFit="1" customWidth="1"/>
    <col min="29" max="16384" width="36.54296875" style="1"/>
  </cols>
  <sheetData>
    <row r="1" spans="1:28" x14ac:dyDescent="0.25">
      <c r="A1" s="1" t="s">
        <v>34</v>
      </c>
      <c r="B1" s="1" t="s">
        <v>39</v>
      </c>
      <c r="C1" s="1" t="s">
        <v>47</v>
      </c>
      <c r="D1" s="1" t="s">
        <v>438</v>
      </c>
      <c r="E1" s="1" t="s">
        <v>99</v>
      </c>
      <c r="F1" s="1" t="s">
        <v>100</v>
      </c>
      <c r="G1" s="1" t="s">
        <v>51</v>
      </c>
      <c r="H1" s="1" t="s">
        <v>44</v>
      </c>
      <c r="I1" s="1" t="s">
        <v>62</v>
      </c>
      <c r="J1" s="1" t="s">
        <v>67</v>
      </c>
      <c r="K1" s="1" t="s">
        <v>71</v>
      </c>
      <c r="L1" s="1" t="s">
        <v>74</v>
      </c>
      <c r="M1" s="1" t="s">
        <v>290</v>
      </c>
      <c r="N1" s="1" t="s">
        <v>291</v>
      </c>
      <c r="O1" s="1" t="s">
        <v>292</v>
      </c>
      <c r="P1" s="1" t="s">
        <v>293</v>
      </c>
      <c r="Q1" s="1" t="s">
        <v>77</v>
      </c>
      <c r="R1" s="1" t="s">
        <v>80</v>
      </c>
      <c r="S1" s="1" t="s">
        <v>294</v>
      </c>
      <c r="T1" s="1" t="s">
        <v>84</v>
      </c>
      <c r="U1" s="1" t="s">
        <v>295</v>
      </c>
      <c r="V1" s="1" t="s">
        <v>296</v>
      </c>
      <c r="W1" s="1" t="s">
        <v>88</v>
      </c>
      <c r="X1" s="1" t="s">
        <v>95</v>
      </c>
      <c r="Y1" s="1" t="s">
        <v>297</v>
      </c>
      <c r="Z1" s="1" t="s">
        <v>106</v>
      </c>
      <c r="AA1" s="1" t="s">
        <v>107</v>
      </c>
      <c r="AB1" s="1" t="s">
        <v>11</v>
      </c>
    </row>
    <row r="2" spans="1:28" x14ac:dyDescent="0.25">
      <c r="A2" s="1">
        <v>1</v>
      </c>
      <c r="B2" s="1" t="s">
        <v>109</v>
      </c>
      <c r="C2" s="1" t="s">
        <v>110</v>
      </c>
      <c r="D2" s="1" t="s">
        <v>111</v>
      </c>
      <c r="E2" s="1" t="s">
        <v>112</v>
      </c>
      <c r="F2" s="1" t="s">
        <v>113</v>
      </c>
      <c r="G2" s="1" t="s">
        <v>114</v>
      </c>
      <c r="H2" s="1" t="s">
        <v>122</v>
      </c>
      <c r="I2" s="1">
        <v>92</v>
      </c>
      <c r="J2" s="1">
        <v>7.6</v>
      </c>
      <c r="K2" s="1">
        <v>90</v>
      </c>
      <c r="L2" s="1">
        <v>60</v>
      </c>
      <c r="M2" s="1">
        <v>0.7</v>
      </c>
      <c r="N2" s="1">
        <v>0.3</v>
      </c>
      <c r="O2" s="1">
        <v>75</v>
      </c>
      <c r="P2" s="1">
        <v>1</v>
      </c>
      <c r="Q2" s="1">
        <f>I2*M2+K2*N2</f>
        <v>91.399999999999991</v>
      </c>
      <c r="R2" s="1" t="str">
        <f>IF(Q2&lt;75,"0","1")</f>
        <v>1</v>
      </c>
      <c r="S2" s="1" t="str">
        <f>IF(Q2&lt;75,"不采购","采购")</f>
        <v>采购</v>
      </c>
      <c r="T2" s="1" t="s">
        <v>299</v>
      </c>
      <c r="U2" s="1">
        <v>1</v>
      </c>
      <c r="V2" s="1" t="s">
        <v>298</v>
      </c>
      <c r="W2" s="1" t="s">
        <v>300</v>
      </c>
      <c r="X2" s="1">
        <v>1</v>
      </c>
      <c r="Y2" s="1" t="s">
        <v>124</v>
      </c>
      <c r="Z2" s="1" t="s">
        <v>301</v>
      </c>
      <c r="AA2" s="1" t="s">
        <v>302</v>
      </c>
      <c r="AB2" s="1" t="s">
        <v>303</v>
      </c>
    </row>
    <row r="3" spans="1:28" x14ac:dyDescent="0.25">
      <c r="A3" s="1">
        <v>2</v>
      </c>
      <c r="B3" s="1" t="s">
        <v>123</v>
      </c>
      <c r="C3" s="1" t="s">
        <v>110</v>
      </c>
      <c r="D3" s="1" t="s">
        <v>111</v>
      </c>
      <c r="E3" s="1" t="s">
        <v>112</v>
      </c>
      <c r="F3" s="1" t="s">
        <v>113</v>
      </c>
      <c r="G3" s="1" t="s">
        <v>114</v>
      </c>
      <c r="H3" s="1" t="s">
        <v>129</v>
      </c>
      <c r="I3" s="1">
        <v>85</v>
      </c>
      <c r="J3" s="1">
        <v>9.1999999999999993</v>
      </c>
      <c r="K3" s="1">
        <v>80</v>
      </c>
      <c r="L3" s="1">
        <v>60</v>
      </c>
      <c r="M3" s="1">
        <v>0.7</v>
      </c>
      <c r="N3" s="1">
        <v>0.3</v>
      </c>
      <c r="O3" s="1">
        <v>75</v>
      </c>
      <c r="P3" s="1">
        <v>1</v>
      </c>
      <c r="Q3" s="1">
        <f t="shared" ref="Q3:Q49" si="0">I3*M3+K3*N3</f>
        <v>83.5</v>
      </c>
      <c r="R3" s="1" t="str">
        <f t="shared" ref="R3:R49" si="1">IF(Q3&lt;75,"0","1")</f>
        <v>1</v>
      </c>
      <c r="S3" s="1" t="str">
        <f t="shared" ref="S3:S49" si="2">IF(Q3&lt;75,"不采购","采购")</f>
        <v>采购</v>
      </c>
      <c r="T3" s="1" t="s">
        <v>299</v>
      </c>
      <c r="U3" s="1">
        <v>1</v>
      </c>
      <c r="V3" s="1" t="s">
        <v>298</v>
      </c>
      <c r="W3" s="1" t="s">
        <v>300</v>
      </c>
      <c r="X3" s="1">
        <v>1</v>
      </c>
      <c r="Y3" s="1" t="s">
        <v>124</v>
      </c>
      <c r="Z3" s="1" t="s">
        <v>304</v>
      </c>
      <c r="AA3" s="1" t="s">
        <v>305</v>
      </c>
      <c r="AB3" s="1" t="s">
        <v>303</v>
      </c>
    </row>
    <row r="4" spans="1:28" x14ac:dyDescent="0.25">
      <c r="A4" s="1">
        <v>3</v>
      </c>
      <c r="B4" s="1" t="s">
        <v>130</v>
      </c>
      <c r="C4" s="1" t="s">
        <v>110</v>
      </c>
      <c r="D4" s="1" t="s">
        <v>111</v>
      </c>
      <c r="E4" s="1" t="s">
        <v>112</v>
      </c>
      <c r="F4" s="1" t="s">
        <v>113</v>
      </c>
      <c r="G4" s="1" t="s">
        <v>114</v>
      </c>
      <c r="H4" s="1" t="s">
        <v>132</v>
      </c>
      <c r="I4" s="1">
        <v>78</v>
      </c>
      <c r="J4" s="1">
        <v>10</v>
      </c>
      <c r="K4" s="1">
        <v>75</v>
      </c>
      <c r="L4" s="1">
        <v>60</v>
      </c>
      <c r="M4" s="1">
        <v>0.7</v>
      </c>
      <c r="N4" s="1">
        <v>0.3</v>
      </c>
      <c r="O4" s="1">
        <v>75</v>
      </c>
      <c r="P4" s="1">
        <v>1</v>
      </c>
      <c r="Q4" s="1">
        <f t="shared" si="0"/>
        <v>77.099999999999994</v>
      </c>
      <c r="R4" s="1" t="str">
        <f t="shared" si="1"/>
        <v>1</v>
      </c>
      <c r="S4" s="1" t="str">
        <f t="shared" si="2"/>
        <v>采购</v>
      </c>
      <c r="T4" s="1" t="s">
        <v>306</v>
      </c>
      <c r="U4" s="1">
        <v>1</v>
      </c>
      <c r="V4" s="1" t="s">
        <v>298</v>
      </c>
      <c r="W4" s="1" t="s">
        <v>306</v>
      </c>
      <c r="X4" s="1">
        <v>1</v>
      </c>
      <c r="Y4" s="1" t="s">
        <v>124</v>
      </c>
      <c r="Z4" s="1" t="s">
        <v>307</v>
      </c>
      <c r="AA4" s="1" t="s">
        <v>308</v>
      </c>
      <c r="AB4" s="1" t="s">
        <v>309</v>
      </c>
    </row>
    <row r="5" spans="1:28" x14ac:dyDescent="0.25">
      <c r="A5" s="1">
        <v>4</v>
      </c>
      <c r="B5" s="1" t="s">
        <v>133</v>
      </c>
      <c r="C5" s="1" t="s">
        <v>110</v>
      </c>
      <c r="D5" s="1" t="s">
        <v>111</v>
      </c>
      <c r="E5" s="1" t="s">
        <v>112</v>
      </c>
      <c r="F5" s="1" t="s">
        <v>113</v>
      </c>
      <c r="G5" s="1" t="s">
        <v>114</v>
      </c>
      <c r="H5" s="1" t="s">
        <v>135</v>
      </c>
      <c r="I5" s="1">
        <v>72</v>
      </c>
      <c r="J5" s="1">
        <v>11.6</v>
      </c>
      <c r="K5" s="1">
        <v>65</v>
      </c>
      <c r="L5" s="1">
        <v>60</v>
      </c>
      <c r="M5" s="1">
        <v>0.7</v>
      </c>
      <c r="N5" s="1">
        <v>0.3</v>
      </c>
      <c r="O5" s="1">
        <v>75</v>
      </c>
      <c r="P5" s="1">
        <v>1</v>
      </c>
      <c r="Q5" s="1">
        <f t="shared" si="0"/>
        <v>69.900000000000006</v>
      </c>
      <c r="R5" s="1" t="str">
        <f t="shared" si="1"/>
        <v>0</v>
      </c>
      <c r="S5" s="1" t="str">
        <f t="shared" si="2"/>
        <v>不采购</v>
      </c>
      <c r="T5" s="1" t="s">
        <v>299</v>
      </c>
      <c r="U5" s="1">
        <v>0</v>
      </c>
      <c r="V5" s="1" t="s">
        <v>310</v>
      </c>
      <c r="W5" s="1" t="s">
        <v>300</v>
      </c>
      <c r="X5" s="1">
        <v>1</v>
      </c>
      <c r="Y5" s="1" t="s">
        <v>124</v>
      </c>
      <c r="Z5" s="1" t="s">
        <v>311</v>
      </c>
      <c r="AA5" s="1" t="s">
        <v>312</v>
      </c>
      <c r="AB5" s="1" t="s">
        <v>303</v>
      </c>
    </row>
    <row r="6" spans="1:28" x14ac:dyDescent="0.25">
      <c r="A6" s="1">
        <v>5</v>
      </c>
      <c r="B6" s="1" t="s">
        <v>136</v>
      </c>
      <c r="C6" s="1" t="s">
        <v>110</v>
      </c>
      <c r="D6" s="1" t="s">
        <v>111</v>
      </c>
      <c r="E6" s="1" t="s">
        <v>137</v>
      </c>
      <c r="F6" s="1" t="s">
        <v>113</v>
      </c>
      <c r="G6" s="1" t="s">
        <v>114</v>
      </c>
      <c r="H6" s="1" t="s">
        <v>138</v>
      </c>
      <c r="I6" s="1">
        <v>66</v>
      </c>
      <c r="J6" s="1">
        <v>14.8</v>
      </c>
      <c r="K6" s="1">
        <v>45</v>
      </c>
      <c r="L6" s="1">
        <v>60</v>
      </c>
      <c r="M6" s="1">
        <v>0.7</v>
      </c>
      <c r="N6" s="1">
        <v>0.3</v>
      </c>
      <c r="O6" s="1">
        <v>75</v>
      </c>
      <c r="P6" s="1">
        <v>1</v>
      </c>
      <c r="Q6" s="1">
        <f t="shared" si="0"/>
        <v>59.699999999999996</v>
      </c>
      <c r="R6" s="1" t="str">
        <f t="shared" si="1"/>
        <v>0</v>
      </c>
      <c r="S6" s="1" t="str">
        <f t="shared" si="2"/>
        <v>不采购</v>
      </c>
      <c r="T6" s="1" t="s">
        <v>299</v>
      </c>
      <c r="U6" s="1">
        <v>0</v>
      </c>
      <c r="V6" s="1" t="s">
        <v>310</v>
      </c>
      <c r="W6" s="1" t="s">
        <v>300</v>
      </c>
      <c r="X6" s="1">
        <v>1</v>
      </c>
      <c r="Y6" s="1" t="s">
        <v>124</v>
      </c>
      <c r="Z6" s="1" t="s">
        <v>439</v>
      </c>
      <c r="AA6" s="1" t="s">
        <v>314</v>
      </c>
      <c r="AB6" s="1" t="s">
        <v>303</v>
      </c>
    </row>
    <row r="7" spans="1:28" x14ac:dyDescent="0.25">
      <c r="A7" s="1">
        <v>6</v>
      </c>
      <c r="B7" s="1" t="s">
        <v>139</v>
      </c>
      <c r="C7" s="1" t="s">
        <v>110</v>
      </c>
      <c r="D7" s="1" t="s">
        <v>111</v>
      </c>
      <c r="E7" s="1" t="s">
        <v>140</v>
      </c>
      <c r="F7" s="1" t="s">
        <v>113</v>
      </c>
      <c r="G7" s="1" t="s">
        <v>114</v>
      </c>
      <c r="H7" s="1" t="s">
        <v>142</v>
      </c>
      <c r="I7" s="1">
        <v>78</v>
      </c>
      <c r="J7" s="1">
        <v>10</v>
      </c>
      <c r="K7" s="1">
        <v>75</v>
      </c>
      <c r="L7" s="1">
        <v>60</v>
      </c>
      <c r="M7" s="1">
        <v>0.7</v>
      </c>
      <c r="N7" s="1">
        <v>0.3</v>
      </c>
      <c r="O7" s="1">
        <v>75</v>
      </c>
      <c r="P7" s="1">
        <v>0</v>
      </c>
      <c r="Q7" s="1">
        <f t="shared" si="0"/>
        <v>77.099999999999994</v>
      </c>
      <c r="R7" s="1" t="str">
        <f t="shared" si="1"/>
        <v>1</v>
      </c>
      <c r="S7" s="1" t="str">
        <f t="shared" si="2"/>
        <v>采购</v>
      </c>
      <c r="T7" s="1" t="s">
        <v>306</v>
      </c>
      <c r="U7" s="1">
        <v>1</v>
      </c>
      <c r="V7" s="1" t="s">
        <v>298</v>
      </c>
      <c r="W7" s="1" t="s">
        <v>306</v>
      </c>
      <c r="X7" s="1">
        <v>1</v>
      </c>
      <c r="Y7" s="1" t="s">
        <v>124</v>
      </c>
      <c r="Z7" s="1" t="s">
        <v>441</v>
      </c>
      <c r="AA7" s="1" t="s">
        <v>308</v>
      </c>
      <c r="AB7" s="1" t="s">
        <v>309</v>
      </c>
    </row>
    <row r="8" spans="1:28" x14ac:dyDescent="0.25">
      <c r="A8" s="1">
        <v>7</v>
      </c>
      <c r="B8" s="1" t="s">
        <v>143</v>
      </c>
      <c r="C8" s="1" t="s">
        <v>110</v>
      </c>
      <c r="D8" s="1" t="s">
        <v>111</v>
      </c>
      <c r="E8" s="1" t="s">
        <v>144</v>
      </c>
      <c r="F8" s="1" t="s">
        <v>113</v>
      </c>
      <c r="G8" s="1" t="s">
        <v>114</v>
      </c>
      <c r="H8" s="1" t="s">
        <v>146</v>
      </c>
      <c r="I8" s="1">
        <v>89</v>
      </c>
      <c r="J8" s="1">
        <v>13.2</v>
      </c>
      <c r="K8" s="1">
        <v>55</v>
      </c>
      <c r="L8" s="1">
        <v>60</v>
      </c>
      <c r="M8" s="1">
        <v>0.7</v>
      </c>
      <c r="N8" s="1">
        <v>0.3</v>
      </c>
      <c r="O8" s="1">
        <v>75</v>
      </c>
      <c r="P8" s="1">
        <v>0</v>
      </c>
      <c r="Q8" s="1">
        <f t="shared" si="0"/>
        <v>78.8</v>
      </c>
      <c r="R8" s="1" t="str">
        <f t="shared" si="1"/>
        <v>1</v>
      </c>
      <c r="S8" s="1" t="str">
        <f t="shared" si="2"/>
        <v>采购</v>
      </c>
      <c r="T8" s="1" t="s">
        <v>299</v>
      </c>
      <c r="U8" s="1">
        <v>1</v>
      </c>
      <c r="V8" s="1" t="s">
        <v>459</v>
      </c>
      <c r="W8" s="1" t="s">
        <v>300</v>
      </c>
      <c r="X8" s="1">
        <v>1</v>
      </c>
      <c r="Y8" s="1" t="s">
        <v>456</v>
      </c>
      <c r="Z8" s="1" t="s">
        <v>461</v>
      </c>
      <c r="AA8" s="1" t="s">
        <v>463</v>
      </c>
      <c r="AB8" s="1" t="s">
        <v>303</v>
      </c>
    </row>
    <row r="9" spans="1:28" x14ac:dyDescent="0.25">
      <c r="A9" s="1">
        <v>8</v>
      </c>
      <c r="B9" s="1" t="s">
        <v>147</v>
      </c>
      <c r="C9" s="1" t="s">
        <v>110</v>
      </c>
      <c r="D9" s="1" t="s">
        <v>111</v>
      </c>
      <c r="E9" s="1" t="s">
        <v>137</v>
      </c>
      <c r="F9" s="1" t="s">
        <v>113</v>
      </c>
      <c r="G9" s="1" t="s">
        <v>114</v>
      </c>
      <c r="H9" s="1" t="s">
        <v>149</v>
      </c>
      <c r="I9" s="1">
        <v>77</v>
      </c>
      <c r="J9" s="1">
        <v>17.2</v>
      </c>
      <c r="K9" s="1">
        <v>30</v>
      </c>
      <c r="L9" s="1">
        <v>60</v>
      </c>
      <c r="M9" s="1">
        <v>0.7</v>
      </c>
      <c r="N9" s="1">
        <v>0.3</v>
      </c>
      <c r="O9" s="1">
        <v>75</v>
      </c>
      <c r="P9" s="1">
        <v>0</v>
      </c>
      <c r="Q9" s="1">
        <f t="shared" si="0"/>
        <v>62.9</v>
      </c>
      <c r="R9" s="1" t="str">
        <f t="shared" si="1"/>
        <v>0</v>
      </c>
      <c r="S9" s="1" t="str">
        <f t="shared" si="2"/>
        <v>不采购</v>
      </c>
      <c r="T9" s="1" t="s">
        <v>299</v>
      </c>
      <c r="U9" s="1">
        <v>0</v>
      </c>
      <c r="V9" s="1" t="s">
        <v>310</v>
      </c>
      <c r="W9" s="1" t="s">
        <v>300</v>
      </c>
      <c r="X9" s="1">
        <v>1</v>
      </c>
      <c r="Y9" s="1" t="s">
        <v>124</v>
      </c>
      <c r="Z9" s="1" t="s">
        <v>440</v>
      </c>
      <c r="AA9" s="1" t="s">
        <v>317</v>
      </c>
      <c r="AB9" s="1" t="s">
        <v>303</v>
      </c>
    </row>
    <row r="10" spans="1:28" x14ac:dyDescent="0.25">
      <c r="A10" s="1">
        <v>9</v>
      </c>
      <c r="B10" s="1" t="s">
        <v>150</v>
      </c>
      <c r="C10" s="1" t="s">
        <v>110</v>
      </c>
      <c r="D10" s="1" t="s">
        <v>111</v>
      </c>
      <c r="E10" s="1" t="s">
        <v>112</v>
      </c>
      <c r="F10" s="1" t="s">
        <v>151</v>
      </c>
      <c r="G10" s="1" t="s">
        <v>152</v>
      </c>
      <c r="H10" s="1" t="s">
        <v>138</v>
      </c>
      <c r="I10" s="1">
        <v>83</v>
      </c>
      <c r="J10" s="1">
        <v>9.1999999999999993</v>
      </c>
      <c r="K10" s="1">
        <v>80</v>
      </c>
      <c r="L10" s="1">
        <v>60</v>
      </c>
      <c r="M10" s="1">
        <v>0.7</v>
      </c>
      <c r="N10" s="1">
        <v>0.3</v>
      </c>
      <c r="O10" s="1">
        <v>75</v>
      </c>
      <c r="P10" s="1">
        <v>1</v>
      </c>
      <c r="Q10" s="1">
        <f t="shared" si="0"/>
        <v>82.1</v>
      </c>
      <c r="R10" s="1" t="str">
        <f t="shared" si="1"/>
        <v>1</v>
      </c>
      <c r="S10" s="1" t="str">
        <f t="shared" si="2"/>
        <v>采购</v>
      </c>
      <c r="T10" s="1" t="s">
        <v>299</v>
      </c>
      <c r="U10" s="1">
        <v>1</v>
      </c>
      <c r="V10" s="1" t="s">
        <v>298</v>
      </c>
      <c r="W10" s="1" t="s">
        <v>300</v>
      </c>
      <c r="X10" s="1">
        <v>1</v>
      </c>
      <c r="Y10" s="1" t="s">
        <v>124</v>
      </c>
      <c r="Z10" s="1" t="s">
        <v>318</v>
      </c>
      <c r="AA10" s="1" t="s">
        <v>305</v>
      </c>
      <c r="AB10" s="1" t="s">
        <v>303</v>
      </c>
    </row>
    <row r="11" spans="1:28" x14ac:dyDescent="0.25">
      <c r="A11" s="1">
        <v>10</v>
      </c>
      <c r="B11" s="1" t="s">
        <v>153</v>
      </c>
      <c r="C11" s="1" t="s">
        <v>110</v>
      </c>
      <c r="D11" s="1" t="s">
        <v>111</v>
      </c>
      <c r="E11" s="1" t="s">
        <v>112</v>
      </c>
      <c r="F11" s="1" t="s">
        <v>151</v>
      </c>
      <c r="G11" s="1" t="s">
        <v>152</v>
      </c>
      <c r="H11" s="1" t="s">
        <v>142</v>
      </c>
      <c r="I11" s="1">
        <v>76</v>
      </c>
      <c r="J11" s="1">
        <v>11.6</v>
      </c>
      <c r="K11" s="1">
        <v>65</v>
      </c>
      <c r="L11" s="1">
        <v>60</v>
      </c>
      <c r="M11" s="1">
        <v>0.7</v>
      </c>
      <c r="N11" s="1">
        <v>0.3</v>
      </c>
      <c r="O11" s="1">
        <v>75</v>
      </c>
      <c r="P11" s="1">
        <v>1</v>
      </c>
      <c r="Q11" s="1">
        <f t="shared" si="0"/>
        <v>72.699999999999989</v>
      </c>
      <c r="R11" s="1" t="str">
        <f t="shared" si="1"/>
        <v>0</v>
      </c>
      <c r="S11" s="1" t="str">
        <f t="shared" si="2"/>
        <v>不采购</v>
      </c>
      <c r="T11" s="1" t="s">
        <v>306</v>
      </c>
      <c r="U11" s="1">
        <v>0</v>
      </c>
      <c r="V11" s="1" t="s">
        <v>310</v>
      </c>
      <c r="W11" s="1" t="s">
        <v>306</v>
      </c>
      <c r="X11" s="1">
        <v>1</v>
      </c>
      <c r="Y11" s="1" t="s">
        <v>124</v>
      </c>
      <c r="Z11" s="1" t="s">
        <v>319</v>
      </c>
      <c r="AA11" s="1" t="s">
        <v>320</v>
      </c>
      <c r="AB11" s="1" t="s">
        <v>309</v>
      </c>
    </row>
    <row r="12" spans="1:28" x14ac:dyDescent="0.25">
      <c r="A12" s="1">
        <v>11</v>
      </c>
      <c r="B12" s="1" t="s">
        <v>154</v>
      </c>
      <c r="C12" s="1" t="s">
        <v>110</v>
      </c>
      <c r="D12" s="1" t="s">
        <v>111</v>
      </c>
      <c r="E12" s="1" t="s">
        <v>112</v>
      </c>
      <c r="F12" s="1" t="s">
        <v>151</v>
      </c>
      <c r="G12" s="1" t="s">
        <v>152</v>
      </c>
      <c r="H12" s="1" t="s">
        <v>146</v>
      </c>
      <c r="I12" s="1">
        <v>71</v>
      </c>
      <c r="J12" s="1">
        <v>13.2</v>
      </c>
      <c r="K12" s="1">
        <v>55</v>
      </c>
      <c r="L12" s="1">
        <v>60</v>
      </c>
      <c r="M12" s="1">
        <v>0.7</v>
      </c>
      <c r="N12" s="1">
        <v>0.3</v>
      </c>
      <c r="O12" s="1">
        <v>75</v>
      </c>
      <c r="P12" s="1">
        <v>1</v>
      </c>
      <c r="Q12" s="1">
        <f t="shared" si="0"/>
        <v>66.199999999999989</v>
      </c>
      <c r="R12" s="1" t="str">
        <f t="shared" si="1"/>
        <v>0</v>
      </c>
      <c r="S12" s="1" t="str">
        <f t="shared" si="2"/>
        <v>不采购</v>
      </c>
      <c r="T12" s="1" t="s">
        <v>299</v>
      </c>
      <c r="U12" s="1">
        <v>0</v>
      </c>
      <c r="V12" s="1" t="s">
        <v>310</v>
      </c>
      <c r="W12" s="1" t="s">
        <v>300</v>
      </c>
      <c r="X12" s="1">
        <v>1</v>
      </c>
      <c r="Y12" s="1" t="s">
        <v>124</v>
      </c>
      <c r="Z12" s="1" t="s">
        <v>321</v>
      </c>
      <c r="AA12" s="1" t="s">
        <v>322</v>
      </c>
      <c r="AB12" s="1" t="s">
        <v>303</v>
      </c>
    </row>
    <row r="13" spans="1:28" x14ac:dyDescent="0.25">
      <c r="A13" s="1">
        <v>12</v>
      </c>
      <c r="B13" s="1" t="s">
        <v>155</v>
      </c>
      <c r="C13" s="1" t="s">
        <v>110</v>
      </c>
      <c r="D13" s="1" t="s">
        <v>111</v>
      </c>
      <c r="E13" s="1" t="s">
        <v>112</v>
      </c>
      <c r="F13" s="1" t="s">
        <v>151</v>
      </c>
      <c r="G13" s="1" t="s">
        <v>152</v>
      </c>
      <c r="H13" s="1" t="s">
        <v>149</v>
      </c>
      <c r="I13" s="1">
        <v>68</v>
      </c>
      <c r="J13" s="1">
        <v>15.3</v>
      </c>
      <c r="K13" s="1">
        <v>41.9</v>
      </c>
      <c r="L13" s="1">
        <v>60</v>
      </c>
      <c r="M13" s="1">
        <v>0.7</v>
      </c>
      <c r="N13" s="1">
        <v>0.3</v>
      </c>
      <c r="O13" s="1">
        <v>75</v>
      </c>
      <c r="P13" s="1">
        <v>1</v>
      </c>
      <c r="Q13" s="1">
        <f t="shared" si="0"/>
        <v>60.169999999999995</v>
      </c>
      <c r="R13" s="1" t="str">
        <f t="shared" si="1"/>
        <v>0</v>
      </c>
      <c r="S13" s="1" t="str">
        <f t="shared" si="2"/>
        <v>不采购</v>
      </c>
      <c r="T13" s="1" t="s">
        <v>299</v>
      </c>
      <c r="U13" s="1">
        <v>0</v>
      </c>
      <c r="V13" s="1" t="s">
        <v>310</v>
      </c>
      <c r="W13" s="1" t="s">
        <v>300</v>
      </c>
      <c r="X13" s="1">
        <v>1</v>
      </c>
      <c r="Y13" s="1" t="s">
        <v>124</v>
      </c>
      <c r="Z13" s="1" t="s">
        <v>323</v>
      </c>
      <c r="AA13" s="1" t="s">
        <v>324</v>
      </c>
      <c r="AB13" s="1" t="s">
        <v>303</v>
      </c>
    </row>
    <row r="14" spans="1:28" x14ac:dyDescent="0.25">
      <c r="A14" s="1">
        <v>13</v>
      </c>
      <c r="B14" s="1" t="s">
        <v>156</v>
      </c>
      <c r="C14" s="1" t="s">
        <v>110</v>
      </c>
      <c r="D14" s="1" t="s">
        <v>111</v>
      </c>
      <c r="E14" s="1" t="s">
        <v>137</v>
      </c>
      <c r="F14" s="1" t="s">
        <v>151</v>
      </c>
      <c r="G14" s="1" t="s">
        <v>152</v>
      </c>
      <c r="H14" s="1" t="s">
        <v>158</v>
      </c>
      <c r="I14" s="1">
        <v>63</v>
      </c>
      <c r="J14" s="1">
        <v>17.2</v>
      </c>
      <c r="K14" s="1">
        <v>30</v>
      </c>
      <c r="L14" s="1">
        <v>60</v>
      </c>
      <c r="M14" s="1">
        <v>0.7</v>
      </c>
      <c r="N14" s="1">
        <v>0.3</v>
      </c>
      <c r="O14" s="1">
        <v>75</v>
      </c>
      <c r="P14" s="1">
        <v>1</v>
      </c>
      <c r="Q14" s="1">
        <f t="shared" si="0"/>
        <v>53.099999999999994</v>
      </c>
      <c r="R14" s="1" t="str">
        <f t="shared" si="1"/>
        <v>0</v>
      </c>
      <c r="S14" s="1" t="str">
        <f t="shared" si="2"/>
        <v>不采购</v>
      </c>
      <c r="T14" s="1" t="s">
        <v>306</v>
      </c>
      <c r="U14" s="1">
        <v>1</v>
      </c>
      <c r="V14" s="1" t="s">
        <v>298</v>
      </c>
      <c r="W14" s="1" t="s">
        <v>306</v>
      </c>
      <c r="X14" s="1">
        <v>0</v>
      </c>
      <c r="Y14" s="1" t="s">
        <v>117</v>
      </c>
      <c r="Z14" s="1" t="s">
        <v>460</v>
      </c>
      <c r="AA14" s="1" t="s">
        <v>462</v>
      </c>
      <c r="AB14" s="1" t="s">
        <v>309</v>
      </c>
    </row>
    <row r="15" spans="1:28" x14ac:dyDescent="0.25">
      <c r="A15" s="1">
        <v>14</v>
      </c>
      <c r="B15" s="1" t="s">
        <v>159</v>
      </c>
      <c r="C15" s="1" t="s">
        <v>110</v>
      </c>
      <c r="D15" s="1" t="s">
        <v>111</v>
      </c>
      <c r="E15" s="1" t="s">
        <v>144</v>
      </c>
      <c r="F15" s="1" t="s">
        <v>151</v>
      </c>
      <c r="G15" s="1" t="s">
        <v>152</v>
      </c>
      <c r="H15" s="1" t="s">
        <v>161</v>
      </c>
      <c r="I15" s="1">
        <v>61</v>
      </c>
      <c r="J15" s="1">
        <v>18.5</v>
      </c>
      <c r="K15" s="1">
        <v>21.9</v>
      </c>
      <c r="L15" s="1">
        <v>60</v>
      </c>
      <c r="M15" s="1">
        <v>0.7</v>
      </c>
      <c r="N15" s="1">
        <v>0.3</v>
      </c>
      <c r="O15" s="1">
        <v>75</v>
      </c>
      <c r="P15" s="1">
        <v>1</v>
      </c>
      <c r="Q15" s="1">
        <f t="shared" si="0"/>
        <v>49.269999999999996</v>
      </c>
      <c r="R15" s="1" t="str">
        <f t="shared" si="1"/>
        <v>0</v>
      </c>
      <c r="S15" s="1" t="str">
        <f t="shared" si="2"/>
        <v>不采购</v>
      </c>
      <c r="T15" s="1" t="s">
        <v>306</v>
      </c>
      <c r="U15" s="1">
        <v>0</v>
      </c>
      <c r="V15" s="1" t="s">
        <v>310</v>
      </c>
      <c r="W15" s="1" t="s">
        <v>306</v>
      </c>
      <c r="X15" s="1">
        <v>1</v>
      </c>
      <c r="Y15" s="1" t="s">
        <v>124</v>
      </c>
      <c r="Z15" s="1" t="s">
        <v>326</v>
      </c>
      <c r="AA15" s="1" t="s">
        <v>327</v>
      </c>
      <c r="AB15" s="1" t="s">
        <v>309</v>
      </c>
    </row>
    <row r="16" spans="1:28" x14ac:dyDescent="0.25">
      <c r="A16" s="1">
        <v>15</v>
      </c>
      <c r="B16" s="1" t="s">
        <v>162</v>
      </c>
      <c r="C16" s="1" t="s">
        <v>110</v>
      </c>
      <c r="D16" s="1" t="s">
        <v>111</v>
      </c>
      <c r="E16" s="1" t="s">
        <v>137</v>
      </c>
      <c r="F16" s="1" t="s">
        <v>151</v>
      </c>
      <c r="G16" s="1" t="s">
        <v>152</v>
      </c>
      <c r="H16" s="1" t="s">
        <v>164</v>
      </c>
      <c r="I16" s="1">
        <v>57</v>
      </c>
      <c r="J16" s="1">
        <v>10.8</v>
      </c>
      <c r="K16" s="1">
        <v>70</v>
      </c>
      <c r="L16" s="1">
        <v>60</v>
      </c>
      <c r="M16" s="1">
        <v>0.7</v>
      </c>
      <c r="N16" s="1">
        <v>0.3</v>
      </c>
      <c r="O16" s="1">
        <v>75</v>
      </c>
      <c r="P16" s="1">
        <v>0</v>
      </c>
      <c r="Q16" s="1">
        <f t="shared" si="0"/>
        <v>60.9</v>
      </c>
      <c r="R16" s="1" t="str">
        <f t="shared" si="1"/>
        <v>0</v>
      </c>
      <c r="S16" s="1" t="str">
        <f t="shared" si="2"/>
        <v>不采购</v>
      </c>
      <c r="T16" s="1" t="s">
        <v>306</v>
      </c>
      <c r="U16" s="1">
        <v>1</v>
      </c>
      <c r="V16" s="1" t="s">
        <v>298</v>
      </c>
      <c r="W16" s="1" t="s">
        <v>306</v>
      </c>
      <c r="X16" s="1">
        <v>0</v>
      </c>
      <c r="Y16" s="1" t="s">
        <v>117</v>
      </c>
      <c r="Z16" s="1" t="s">
        <v>328</v>
      </c>
      <c r="AA16" s="1" t="s">
        <v>329</v>
      </c>
      <c r="AB16" s="1" t="s">
        <v>309</v>
      </c>
    </row>
    <row r="17" spans="1:28" x14ac:dyDescent="0.25">
      <c r="A17" s="1">
        <v>16</v>
      </c>
      <c r="B17" s="1" t="s">
        <v>165</v>
      </c>
      <c r="C17" s="1" t="s">
        <v>110</v>
      </c>
      <c r="D17" s="1" t="s">
        <v>111</v>
      </c>
      <c r="E17" s="1" t="s">
        <v>144</v>
      </c>
      <c r="F17" s="1" t="s">
        <v>151</v>
      </c>
      <c r="G17" s="1" t="s">
        <v>152</v>
      </c>
      <c r="H17" s="1" t="s">
        <v>166</v>
      </c>
      <c r="I17" s="1">
        <v>54</v>
      </c>
      <c r="J17" s="1">
        <v>14</v>
      </c>
      <c r="K17" s="1">
        <v>50</v>
      </c>
      <c r="L17" s="1">
        <v>60</v>
      </c>
      <c r="M17" s="1">
        <v>0.7</v>
      </c>
      <c r="N17" s="1">
        <v>0.3</v>
      </c>
      <c r="O17" s="1">
        <v>75</v>
      </c>
      <c r="P17" s="1">
        <v>0</v>
      </c>
      <c r="Q17" s="1">
        <f t="shared" si="0"/>
        <v>52.8</v>
      </c>
      <c r="R17" s="1" t="str">
        <f t="shared" si="1"/>
        <v>0</v>
      </c>
      <c r="S17" s="1" t="str">
        <f t="shared" si="2"/>
        <v>不采购</v>
      </c>
      <c r="T17" s="1" t="s">
        <v>299</v>
      </c>
      <c r="U17" s="1">
        <v>0</v>
      </c>
      <c r="V17" s="1" t="s">
        <v>310</v>
      </c>
      <c r="W17" s="1" t="s">
        <v>300</v>
      </c>
      <c r="X17" s="1">
        <v>1</v>
      </c>
      <c r="Y17" s="1" t="s">
        <v>124</v>
      </c>
      <c r="Z17" s="1" t="s">
        <v>330</v>
      </c>
      <c r="AA17" s="1" t="s">
        <v>331</v>
      </c>
      <c r="AB17" s="1" t="s">
        <v>303</v>
      </c>
    </row>
    <row r="18" spans="1:28" x14ac:dyDescent="0.25">
      <c r="A18" s="1">
        <v>17</v>
      </c>
      <c r="B18" s="1" t="s">
        <v>167</v>
      </c>
      <c r="C18" s="1" t="s">
        <v>168</v>
      </c>
      <c r="D18" s="1" t="s">
        <v>169</v>
      </c>
      <c r="E18" s="1" t="s">
        <v>112</v>
      </c>
      <c r="F18" s="1" t="s">
        <v>113</v>
      </c>
      <c r="G18" s="1" t="s">
        <v>114</v>
      </c>
      <c r="H18" s="1" t="s">
        <v>171</v>
      </c>
      <c r="I18" s="1">
        <v>92</v>
      </c>
      <c r="J18" s="1">
        <v>9.8000000000000007</v>
      </c>
      <c r="K18" s="1">
        <v>90</v>
      </c>
      <c r="L18" s="1">
        <v>60</v>
      </c>
      <c r="M18" s="1">
        <v>0.7</v>
      </c>
      <c r="N18" s="1">
        <v>0.3</v>
      </c>
      <c r="O18" s="1">
        <v>75</v>
      </c>
      <c r="P18" s="1">
        <v>1</v>
      </c>
      <c r="Q18" s="1">
        <f t="shared" si="0"/>
        <v>91.399999999999991</v>
      </c>
      <c r="R18" s="1" t="str">
        <f t="shared" si="1"/>
        <v>1</v>
      </c>
      <c r="S18" s="1" t="str">
        <f t="shared" si="2"/>
        <v>采购</v>
      </c>
      <c r="T18" s="1" t="s">
        <v>299</v>
      </c>
      <c r="U18" s="1">
        <v>1</v>
      </c>
      <c r="V18" s="1" t="s">
        <v>298</v>
      </c>
      <c r="W18" s="1" t="s">
        <v>300</v>
      </c>
      <c r="X18" s="1">
        <v>1</v>
      </c>
      <c r="Y18" s="1" t="s">
        <v>124</v>
      </c>
      <c r="Z18" s="1" t="s">
        <v>301</v>
      </c>
      <c r="AA18" s="1" t="s">
        <v>332</v>
      </c>
      <c r="AB18" s="1" t="s">
        <v>303</v>
      </c>
    </row>
    <row r="19" spans="1:28" x14ac:dyDescent="0.25">
      <c r="A19" s="1">
        <v>18</v>
      </c>
      <c r="B19" s="1" t="s">
        <v>172</v>
      </c>
      <c r="C19" s="1" t="s">
        <v>168</v>
      </c>
      <c r="D19" s="1" t="s">
        <v>169</v>
      </c>
      <c r="E19" s="1" t="s">
        <v>112</v>
      </c>
      <c r="F19" s="1" t="s">
        <v>113</v>
      </c>
      <c r="G19" s="1" t="s">
        <v>114</v>
      </c>
      <c r="H19" s="1" t="s">
        <v>175</v>
      </c>
      <c r="I19" s="1">
        <v>85</v>
      </c>
      <c r="J19" s="1">
        <v>11.6</v>
      </c>
      <c r="K19" s="1">
        <v>80</v>
      </c>
      <c r="L19" s="1">
        <v>60</v>
      </c>
      <c r="M19" s="1">
        <v>0.7</v>
      </c>
      <c r="N19" s="1">
        <v>0.3</v>
      </c>
      <c r="O19" s="1">
        <v>75</v>
      </c>
      <c r="P19" s="1">
        <v>1</v>
      </c>
      <c r="Q19" s="1">
        <f t="shared" si="0"/>
        <v>83.5</v>
      </c>
      <c r="R19" s="1" t="str">
        <f t="shared" si="1"/>
        <v>1</v>
      </c>
      <c r="S19" s="1" t="str">
        <f t="shared" si="2"/>
        <v>采购</v>
      </c>
      <c r="T19" s="1" t="s">
        <v>299</v>
      </c>
      <c r="U19" s="1">
        <v>1</v>
      </c>
      <c r="V19" s="1" t="s">
        <v>298</v>
      </c>
      <c r="W19" s="1" t="s">
        <v>300</v>
      </c>
      <c r="X19" s="1">
        <v>1</v>
      </c>
      <c r="Y19" s="1" t="s">
        <v>124</v>
      </c>
      <c r="Z19" s="1" t="s">
        <v>304</v>
      </c>
      <c r="AA19" s="1" t="s">
        <v>333</v>
      </c>
      <c r="AB19" s="1" t="s">
        <v>303</v>
      </c>
    </row>
    <row r="20" spans="1:28" x14ac:dyDescent="0.25">
      <c r="A20" s="1">
        <v>19</v>
      </c>
      <c r="B20" s="1" t="s">
        <v>176</v>
      </c>
      <c r="C20" s="1" t="s">
        <v>168</v>
      </c>
      <c r="D20" s="1" t="s">
        <v>169</v>
      </c>
      <c r="E20" s="1" t="s">
        <v>112</v>
      </c>
      <c r="F20" s="1" t="s">
        <v>113</v>
      </c>
      <c r="G20" s="1" t="s">
        <v>114</v>
      </c>
      <c r="H20" s="1" t="s">
        <v>177</v>
      </c>
      <c r="I20" s="1">
        <v>78</v>
      </c>
      <c r="J20" s="1">
        <v>12.5</v>
      </c>
      <c r="K20" s="1">
        <v>75</v>
      </c>
      <c r="L20" s="1">
        <v>60</v>
      </c>
      <c r="M20" s="1">
        <v>0.7</v>
      </c>
      <c r="N20" s="1">
        <v>0.3</v>
      </c>
      <c r="O20" s="1">
        <v>75</v>
      </c>
      <c r="P20" s="1">
        <v>1</v>
      </c>
      <c r="Q20" s="1">
        <f t="shared" si="0"/>
        <v>77.099999999999994</v>
      </c>
      <c r="R20" s="1" t="str">
        <f t="shared" si="1"/>
        <v>1</v>
      </c>
      <c r="S20" s="1" t="str">
        <f t="shared" si="2"/>
        <v>采购</v>
      </c>
      <c r="T20" s="1" t="s">
        <v>306</v>
      </c>
      <c r="U20" s="1">
        <v>1</v>
      </c>
      <c r="V20" s="1" t="s">
        <v>298</v>
      </c>
      <c r="W20" s="1" t="s">
        <v>306</v>
      </c>
      <c r="X20" s="1">
        <v>1</v>
      </c>
      <c r="Y20" s="1" t="s">
        <v>124</v>
      </c>
      <c r="Z20" s="1" t="s">
        <v>307</v>
      </c>
      <c r="AA20" s="1" t="s">
        <v>334</v>
      </c>
      <c r="AB20" s="1" t="s">
        <v>309</v>
      </c>
    </row>
    <row r="21" spans="1:28" x14ac:dyDescent="0.25">
      <c r="A21" s="1">
        <v>20</v>
      </c>
      <c r="B21" s="1" t="s">
        <v>178</v>
      </c>
      <c r="C21" s="1" t="s">
        <v>168</v>
      </c>
      <c r="D21" s="1" t="s">
        <v>169</v>
      </c>
      <c r="E21" s="1" t="s">
        <v>112</v>
      </c>
      <c r="F21" s="1" t="s">
        <v>113</v>
      </c>
      <c r="G21" s="1" t="s">
        <v>114</v>
      </c>
      <c r="H21" s="1" t="s">
        <v>179</v>
      </c>
      <c r="I21" s="1">
        <v>72</v>
      </c>
      <c r="J21" s="1">
        <v>14.3</v>
      </c>
      <c r="K21" s="1">
        <v>65</v>
      </c>
      <c r="L21" s="1">
        <v>60</v>
      </c>
      <c r="M21" s="1">
        <v>0.7</v>
      </c>
      <c r="N21" s="1">
        <v>0.3</v>
      </c>
      <c r="O21" s="1">
        <v>75</v>
      </c>
      <c r="P21" s="1">
        <v>1</v>
      </c>
      <c r="Q21" s="1">
        <f t="shared" si="0"/>
        <v>69.900000000000006</v>
      </c>
      <c r="R21" s="1" t="str">
        <f t="shared" si="1"/>
        <v>0</v>
      </c>
      <c r="S21" s="1" t="str">
        <f t="shared" si="2"/>
        <v>不采购</v>
      </c>
      <c r="T21" s="1" t="s">
        <v>299</v>
      </c>
      <c r="U21" s="1">
        <v>0</v>
      </c>
      <c r="V21" s="1" t="s">
        <v>310</v>
      </c>
      <c r="W21" s="1" t="s">
        <v>300</v>
      </c>
      <c r="X21" s="1">
        <v>1</v>
      </c>
      <c r="Y21" s="1" t="s">
        <v>124</v>
      </c>
      <c r="Z21" s="1" t="s">
        <v>311</v>
      </c>
      <c r="AA21" s="1" t="s">
        <v>335</v>
      </c>
      <c r="AB21" s="1" t="s">
        <v>303</v>
      </c>
    </row>
    <row r="22" spans="1:28" x14ac:dyDescent="0.25">
      <c r="A22" s="1">
        <v>21</v>
      </c>
      <c r="B22" s="1" t="s">
        <v>180</v>
      </c>
      <c r="C22" s="1" t="s">
        <v>168</v>
      </c>
      <c r="D22" s="1" t="s">
        <v>169</v>
      </c>
      <c r="E22" s="1" t="s">
        <v>181</v>
      </c>
      <c r="F22" s="1" t="s">
        <v>113</v>
      </c>
      <c r="G22" s="1" t="s">
        <v>114</v>
      </c>
      <c r="H22" s="1" t="s">
        <v>186</v>
      </c>
      <c r="I22" s="1">
        <v>66</v>
      </c>
      <c r="J22" s="1">
        <v>17.899999999999999</v>
      </c>
      <c r="K22" s="1">
        <v>45</v>
      </c>
      <c r="L22" s="1">
        <v>60</v>
      </c>
      <c r="M22" s="1">
        <v>0.7</v>
      </c>
      <c r="N22" s="1">
        <v>0.3</v>
      </c>
      <c r="O22" s="1">
        <v>75</v>
      </c>
      <c r="P22" s="1">
        <v>1</v>
      </c>
      <c r="Q22" s="1">
        <f t="shared" si="0"/>
        <v>59.699999999999996</v>
      </c>
      <c r="R22" s="1" t="str">
        <f t="shared" si="1"/>
        <v>0</v>
      </c>
      <c r="S22" s="1" t="str">
        <f t="shared" si="2"/>
        <v>不采购</v>
      </c>
      <c r="T22" s="1" t="s">
        <v>299</v>
      </c>
      <c r="U22" s="1">
        <v>0</v>
      </c>
      <c r="V22" s="1" t="s">
        <v>310</v>
      </c>
      <c r="W22" s="1" t="s">
        <v>300</v>
      </c>
      <c r="X22" s="1">
        <v>1</v>
      </c>
      <c r="Y22" s="1" t="s">
        <v>124</v>
      </c>
      <c r="Z22" s="1" t="s">
        <v>313</v>
      </c>
      <c r="AA22" s="1" t="s">
        <v>464</v>
      </c>
      <c r="AB22" s="1" t="s">
        <v>303</v>
      </c>
    </row>
    <row r="23" spans="1:28" x14ac:dyDescent="0.25">
      <c r="A23" s="1">
        <v>22</v>
      </c>
      <c r="B23" s="1" t="s">
        <v>187</v>
      </c>
      <c r="C23" s="1" t="s">
        <v>168</v>
      </c>
      <c r="D23" s="1" t="s">
        <v>169</v>
      </c>
      <c r="E23" s="1" t="s">
        <v>181</v>
      </c>
      <c r="F23" s="1" t="s">
        <v>113</v>
      </c>
      <c r="G23" s="1" t="s">
        <v>114</v>
      </c>
      <c r="H23" s="1" t="s">
        <v>191</v>
      </c>
      <c r="I23" s="1">
        <v>59</v>
      </c>
      <c r="J23" s="1">
        <v>12.5</v>
      </c>
      <c r="K23" s="1">
        <v>75</v>
      </c>
      <c r="L23" s="1">
        <v>60</v>
      </c>
      <c r="M23" s="1">
        <v>0.7</v>
      </c>
      <c r="N23" s="1">
        <v>0.3</v>
      </c>
      <c r="O23" s="1">
        <v>75</v>
      </c>
      <c r="P23" s="1">
        <v>0</v>
      </c>
      <c r="Q23" s="1">
        <f t="shared" si="0"/>
        <v>63.8</v>
      </c>
      <c r="R23" s="1" t="str">
        <f t="shared" si="1"/>
        <v>0</v>
      </c>
      <c r="S23" s="1" t="str">
        <f t="shared" si="2"/>
        <v>不采购</v>
      </c>
      <c r="T23" s="1" t="s">
        <v>306</v>
      </c>
      <c r="U23" s="1">
        <v>0</v>
      </c>
      <c r="V23" s="1" t="s">
        <v>457</v>
      </c>
      <c r="W23" s="1" t="s">
        <v>306</v>
      </c>
      <c r="X23" s="1">
        <v>1</v>
      </c>
      <c r="Y23" s="1" t="s">
        <v>456</v>
      </c>
      <c r="Z23" s="1" t="s">
        <v>458</v>
      </c>
      <c r="AA23" s="2" t="s">
        <v>465</v>
      </c>
      <c r="AB23" s="1" t="s">
        <v>309</v>
      </c>
    </row>
    <row r="24" spans="1:28" x14ac:dyDescent="0.25">
      <c r="A24" s="1">
        <v>23</v>
      </c>
      <c r="B24" s="1" t="s">
        <v>192</v>
      </c>
      <c r="C24" s="1" t="s">
        <v>168</v>
      </c>
      <c r="D24" s="1" t="s">
        <v>169</v>
      </c>
      <c r="E24" s="1" t="s">
        <v>193</v>
      </c>
      <c r="F24" s="1" t="s">
        <v>113</v>
      </c>
      <c r="G24" s="1" t="s">
        <v>114</v>
      </c>
      <c r="H24" s="1" t="s">
        <v>195</v>
      </c>
      <c r="I24" s="1">
        <v>52</v>
      </c>
      <c r="J24" s="1">
        <v>16.100000000000001</v>
      </c>
      <c r="K24" s="1">
        <v>55</v>
      </c>
      <c r="L24" s="1">
        <v>60</v>
      </c>
      <c r="M24" s="1">
        <v>0.7</v>
      </c>
      <c r="N24" s="1">
        <v>0.3</v>
      </c>
      <c r="O24" s="1">
        <v>75</v>
      </c>
      <c r="P24" s="1">
        <v>0</v>
      </c>
      <c r="Q24" s="1">
        <f t="shared" si="0"/>
        <v>52.9</v>
      </c>
      <c r="R24" s="1" t="str">
        <f t="shared" si="1"/>
        <v>0</v>
      </c>
      <c r="S24" s="1" t="str">
        <f t="shared" si="2"/>
        <v>不采购</v>
      </c>
      <c r="T24" s="1" t="s">
        <v>299</v>
      </c>
      <c r="U24" s="1">
        <v>0</v>
      </c>
      <c r="V24" s="1" t="s">
        <v>310</v>
      </c>
      <c r="W24" s="1" t="s">
        <v>300</v>
      </c>
      <c r="X24" s="1">
        <v>1</v>
      </c>
      <c r="Y24" s="1" t="s">
        <v>124</v>
      </c>
      <c r="Z24" s="1" t="s">
        <v>315</v>
      </c>
      <c r="AA24" s="1" t="s">
        <v>336</v>
      </c>
      <c r="AB24" s="1" t="s">
        <v>303</v>
      </c>
    </row>
    <row r="25" spans="1:28" x14ac:dyDescent="0.25">
      <c r="A25" s="1">
        <v>24</v>
      </c>
      <c r="B25" s="1" t="s">
        <v>196</v>
      </c>
      <c r="C25" s="1" t="s">
        <v>168</v>
      </c>
      <c r="D25" s="1" t="s">
        <v>169</v>
      </c>
      <c r="E25" s="1" t="s">
        <v>197</v>
      </c>
      <c r="F25" s="1" t="s">
        <v>113</v>
      </c>
      <c r="G25" s="1" t="s">
        <v>114</v>
      </c>
      <c r="H25" s="1" t="s">
        <v>202</v>
      </c>
      <c r="I25" s="1">
        <v>44</v>
      </c>
      <c r="J25" s="1">
        <v>20.6</v>
      </c>
      <c r="K25" s="1">
        <v>30</v>
      </c>
      <c r="L25" s="1">
        <v>60</v>
      </c>
      <c r="M25" s="1">
        <v>0.7</v>
      </c>
      <c r="N25" s="1">
        <v>0.3</v>
      </c>
      <c r="O25" s="1">
        <v>75</v>
      </c>
      <c r="P25" s="1">
        <v>0</v>
      </c>
      <c r="Q25" s="1">
        <f t="shared" si="0"/>
        <v>39.799999999999997</v>
      </c>
      <c r="R25" s="1" t="str">
        <f t="shared" si="1"/>
        <v>0</v>
      </c>
      <c r="S25" s="1" t="str">
        <f t="shared" si="2"/>
        <v>不采购</v>
      </c>
      <c r="T25" s="1" t="s">
        <v>299</v>
      </c>
      <c r="U25" s="1">
        <v>0</v>
      </c>
      <c r="V25" s="1" t="s">
        <v>310</v>
      </c>
      <c r="W25" s="1" t="s">
        <v>300</v>
      </c>
      <c r="X25" s="1">
        <v>1</v>
      </c>
      <c r="Y25" s="1" t="s">
        <v>124</v>
      </c>
      <c r="Z25" s="1" t="s">
        <v>316</v>
      </c>
      <c r="AA25" s="1" t="s">
        <v>337</v>
      </c>
      <c r="AB25" s="1" t="s">
        <v>303</v>
      </c>
    </row>
    <row r="26" spans="1:28" x14ac:dyDescent="0.25">
      <c r="A26" s="1">
        <v>25</v>
      </c>
      <c r="B26" s="1" t="s">
        <v>203</v>
      </c>
      <c r="C26" s="1" t="s">
        <v>168</v>
      </c>
      <c r="D26" s="1" t="s">
        <v>169</v>
      </c>
      <c r="E26" s="1" t="s">
        <v>112</v>
      </c>
      <c r="F26" s="1" t="s">
        <v>151</v>
      </c>
      <c r="G26" s="1" t="s">
        <v>152</v>
      </c>
      <c r="H26" s="1" t="s">
        <v>204</v>
      </c>
      <c r="I26" s="1">
        <v>83</v>
      </c>
      <c r="J26" s="1">
        <v>11.6</v>
      </c>
      <c r="K26" s="1">
        <v>80</v>
      </c>
      <c r="L26" s="1">
        <v>60</v>
      </c>
      <c r="M26" s="1">
        <v>0.7</v>
      </c>
      <c r="N26" s="1">
        <v>0.3</v>
      </c>
      <c r="O26" s="1">
        <v>75</v>
      </c>
      <c r="P26" s="1">
        <v>1</v>
      </c>
      <c r="Q26" s="1">
        <f t="shared" si="0"/>
        <v>82.1</v>
      </c>
      <c r="R26" s="1" t="str">
        <f t="shared" si="1"/>
        <v>1</v>
      </c>
      <c r="S26" s="1" t="str">
        <f t="shared" si="2"/>
        <v>采购</v>
      </c>
      <c r="T26" s="1" t="s">
        <v>299</v>
      </c>
      <c r="U26" s="1">
        <v>1</v>
      </c>
      <c r="V26" s="1" t="s">
        <v>298</v>
      </c>
      <c r="W26" s="1" t="s">
        <v>300</v>
      </c>
      <c r="X26" s="1">
        <v>1</v>
      </c>
      <c r="Y26" s="1" t="s">
        <v>124</v>
      </c>
      <c r="Z26" s="1" t="s">
        <v>318</v>
      </c>
      <c r="AA26" s="1" t="s">
        <v>333</v>
      </c>
      <c r="AB26" s="1" t="s">
        <v>303</v>
      </c>
    </row>
    <row r="27" spans="1:28" x14ac:dyDescent="0.25">
      <c r="A27" s="1">
        <v>26</v>
      </c>
      <c r="B27" s="1" t="s">
        <v>205</v>
      </c>
      <c r="C27" s="1" t="s">
        <v>168</v>
      </c>
      <c r="D27" s="1" t="s">
        <v>169</v>
      </c>
      <c r="E27" s="1" t="s">
        <v>112</v>
      </c>
      <c r="F27" s="1" t="s">
        <v>151</v>
      </c>
      <c r="G27" s="1" t="s">
        <v>152</v>
      </c>
      <c r="H27" s="1" t="s">
        <v>206</v>
      </c>
      <c r="I27" s="1">
        <v>76</v>
      </c>
      <c r="J27" s="1">
        <v>14.3</v>
      </c>
      <c r="K27" s="1">
        <v>65</v>
      </c>
      <c r="L27" s="1">
        <v>60</v>
      </c>
      <c r="M27" s="1">
        <v>0.7</v>
      </c>
      <c r="N27" s="1">
        <v>0.3</v>
      </c>
      <c r="O27" s="1">
        <v>75</v>
      </c>
      <c r="P27" s="1">
        <v>1</v>
      </c>
      <c r="Q27" s="1">
        <f t="shared" si="0"/>
        <v>72.699999999999989</v>
      </c>
      <c r="R27" s="1" t="str">
        <f t="shared" si="1"/>
        <v>0</v>
      </c>
      <c r="S27" s="1" t="str">
        <f t="shared" si="2"/>
        <v>不采购</v>
      </c>
      <c r="T27" s="1" t="s">
        <v>306</v>
      </c>
      <c r="U27" s="1">
        <v>0</v>
      </c>
      <c r="V27" s="1" t="s">
        <v>310</v>
      </c>
      <c r="W27" s="1" t="s">
        <v>306</v>
      </c>
      <c r="X27" s="1">
        <v>1</v>
      </c>
      <c r="Y27" s="1" t="s">
        <v>124</v>
      </c>
      <c r="Z27" s="1" t="s">
        <v>319</v>
      </c>
      <c r="AA27" s="1" t="s">
        <v>338</v>
      </c>
      <c r="AB27" s="1" t="s">
        <v>309</v>
      </c>
    </row>
    <row r="28" spans="1:28" x14ac:dyDescent="0.25">
      <c r="A28" s="1">
        <v>27</v>
      </c>
      <c r="B28" s="1" t="s">
        <v>207</v>
      </c>
      <c r="C28" s="1" t="s">
        <v>168</v>
      </c>
      <c r="D28" s="1" t="s">
        <v>169</v>
      </c>
      <c r="E28" s="1" t="s">
        <v>112</v>
      </c>
      <c r="F28" s="1" t="s">
        <v>151</v>
      </c>
      <c r="G28" s="1" t="s">
        <v>152</v>
      </c>
      <c r="H28" s="1" t="s">
        <v>208</v>
      </c>
      <c r="I28" s="1">
        <v>71</v>
      </c>
      <c r="J28" s="1">
        <v>16.100000000000001</v>
      </c>
      <c r="K28" s="1">
        <v>55</v>
      </c>
      <c r="L28" s="1">
        <v>60</v>
      </c>
      <c r="M28" s="1">
        <v>0.7</v>
      </c>
      <c r="N28" s="1">
        <v>0.3</v>
      </c>
      <c r="O28" s="1">
        <v>75</v>
      </c>
      <c r="P28" s="1">
        <v>1</v>
      </c>
      <c r="Q28" s="1">
        <f t="shared" si="0"/>
        <v>66.199999999999989</v>
      </c>
      <c r="R28" s="1" t="str">
        <f t="shared" si="1"/>
        <v>0</v>
      </c>
      <c r="S28" s="1" t="str">
        <f t="shared" si="2"/>
        <v>不采购</v>
      </c>
      <c r="T28" s="1" t="s">
        <v>299</v>
      </c>
      <c r="U28" s="1">
        <v>0</v>
      </c>
      <c r="V28" s="1" t="s">
        <v>310</v>
      </c>
      <c r="W28" s="1" t="s">
        <v>300</v>
      </c>
      <c r="X28" s="1">
        <v>1</v>
      </c>
      <c r="Y28" s="1" t="s">
        <v>124</v>
      </c>
      <c r="Z28" s="1" t="s">
        <v>321</v>
      </c>
      <c r="AA28" s="1" t="s">
        <v>336</v>
      </c>
      <c r="AB28" s="1" t="s">
        <v>303</v>
      </c>
    </row>
    <row r="29" spans="1:28" x14ac:dyDescent="0.25">
      <c r="A29" s="1">
        <v>28</v>
      </c>
      <c r="B29" s="1" t="s">
        <v>209</v>
      </c>
      <c r="C29" s="1" t="s">
        <v>168</v>
      </c>
      <c r="D29" s="1" t="s">
        <v>169</v>
      </c>
      <c r="E29" s="1" t="s">
        <v>112</v>
      </c>
      <c r="F29" s="1" t="s">
        <v>151</v>
      </c>
      <c r="G29" s="1" t="s">
        <v>152</v>
      </c>
      <c r="H29" s="1" t="s">
        <v>211</v>
      </c>
      <c r="I29" s="1">
        <v>68</v>
      </c>
      <c r="J29" s="1">
        <v>18.399999999999999</v>
      </c>
      <c r="K29" s="1">
        <v>42.2</v>
      </c>
      <c r="L29" s="1">
        <v>60</v>
      </c>
      <c r="M29" s="1">
        <v>0.7</v>
      </c>
      <c r="N29" s="1">
        <v>0.3</v>
      </c>
      <c r="O29" s="1">
        <v>75</v>
      </c>
      <c r="P29" s="1">
        <v>1</v>
      </c>
      <c r="Q29" s="1">
        <f t="shared" si="0"/>
        <v>60.259999999999991</v>
      </c>
      <c r="R29" s="1" t="str">
        <f t="shared" si="1"/>
        <v>0</v>
      </c>
      <c r="S29" s="1" t="str">
        <f t="shared" si="2"/>
        <v>不采购</v>
      </c>
      <c r="T29" s="1" t="s">
        <v>299</v>
      </c>
      <c r="U29" s="1">
        <v>0</v>
      </c>
      <c r="V29" s="1" t="s">
        <v>310</v>
      </c>
      <c r="W29" s="1" t="s">
        <v>300</v>
      </c>
      <c r="X29" s="1">
        <v>1</v>
      </c>
      <c r="Y29" s="1" t="s">
        <v>124</v>
      </c>
      <c r="Z29" s="1" t="s">
        <v>339</v>
      </c>
      <c r="AA29" s="1" t="s">
        <v>340</v>
      </c>
      <c r="AB29" s="1" t="s">
        <v>303</v>
      </c>
    </row>
    <row r="30" spans="1:28" x14ac:dyDescent="0.25">
      <c r="A30" s="1">
        <v>29</v>
      </c>
      <c r="B30" s="1" t="s">
        <v>212</v>
      </c>
      <c r="C30" s="1" t="s">
        <v>168</v>
      </c>
      <c r="D30" s="1" t="s">
        <v>169</v>
      </c>
      <c r="E30" s="1" t="s">
        <v>197</v>
      </c>
      <c r="F30" s="1" t="s">
        <v>151</v>
      </c>
      <c r="G30" s="1" t="s">
        <v>152</v>
      </c>
      <c r="H30" s="1" t="s">
        <v>216</v>
      </c>
      <c r="I30" s="1">
        <v>63</v>
      </c>
      <c r="J30" s="1">
        <v>20.6</v>
      </c>
      <c r="K30" s="1">
        <v>30</v>
      </c>
      <c r="L30" s="1">
        <v>60</v>
      </c>
      <c r="M30" s="1">
        <v>0.7</v>
      </c>
      <c r="N30" s="1">
        <v>0.3</v>
      </c>
      <c r="O30" s="1">
        <v>75</v>
      </c>
      <c r="P30" s="1">
        <v>1</v>
      </c>
      <c r="Q30" s="1">
        <f t="shared" si="0"/>
        <v>53.099999999999994</v>
      </c>
      <c r="R30" s="1" t="str">
        <f t="shared" si="1"/>
        <v>0</v>
      </c>
      <c r="S30" s="1" t="str">
        <f t="shared" si="2"/>
        <v>不采购</v>
      </c>
      <c r="T30" s="1" t="s">
        <v>306</v>
      </c>
      <c r="U30" s="1">
        <v>1</v>
      </c>
      <c r="V30" s="1" t="s">
        <v>298</v>
      </c>
      <c r="W30" s="1" t="s">
        <v>306</v>
      </c>
      <c r="X30" s="1">
        <v>0</v>
      </c>
      <c r="Y30" s="1" t="s">
        <v>117</v>
      </c>
      <c r="Z30" s="1" t="s">
        <v>325</v>
      </c>
      <c r="AA30" s="1" t="s">
        <v>341</v>
      </c>
      <c r="AB30" s="1" t="s">
        <v>309</v>
      </c>
    </row>
    <row r="31" spans="1:28" x14ac:dyDescent="0.25">
      <c r="A31" s="1">
        <v>30</v>
      </c>
      <c r="B31" s="1" t="s">
        <v>217</v>
      </c>
      <c r="C31" s="1" t="s">
        <v>168</v>
      </c>
      <c r="D31" s="1" t="s">
        <v>169</v>
      </c>
      <c r="E31" s="1" t="s">
        <v>197</v>
      </c>
      <c r="F31" s="1" t="s">
        <v>151</v>
      </c>
      <c r="G31" s="1" t="s">
        <v>152</v>
      </c>
      <c r="H31" s="1" t="s">
        <v>221</v>
      </c>
      <c r="I31" s="1">
        <v>61</v>
      </c>
      <c r="J31" s="1">
        <v>22</v>
      </c>
      <c r="K31" s="1">
        <v>22.2</v>
      </c>
      <c r="L31" s="1">
        <v>60</v>
      </c>
      <c r="M31" s="1">
        <v>0.7</v>
      </c>
      <c r="N31" s="1">
        <v>0.3</v>
      </c>
      <c r="O31" s="1">
        <v>75</v>
      </c>
      <c r="P31" s="1">
        <v>1</v>
      </c>
      <c r="Q31" s="1">
        <f t="shared" si="0"/>
        <v>49.359999999999992</v>
      </c>
      <c r="R31" s="1" t="str">
        <f t="shared" si="1"/>
        <v>0</v>
      </c>
      <c r="S31" s="1" t="str">
        <f t="shared" si="2"/>
        <v>不采购</v>
      </c>
      <c r="T31" s="1" t="s">
        <v>306</v>
      </c>
      <c r="U31" s="1">
        <v>0</v>
      </c>
      <c r="V31" s="1" t="s">
        <v>310</v>
      </c>
      <c r="W31" s="1" t="s">
        <v>306</v>
      </c>
      <c r="X31" s="1">
        <v>1</v>
      </c>
      <c r="Y31" s="1" t="s">
        <v>124</v>
      </c>
      <c r="Z31" s="1" t="s">
        <v>342</v>
      </c>
      <c r="AA31" s="1" t="s">
        <v>343</v>
      </c>
      <c r="AB31" s="1" t="s">
        <v>309</v>
      </c>
    </row>
    <row r="32" spans="1:28" x14ac:dyDescent="0.25">
      <c r="A32" s="1">
        <v>31</v>
      </c>
      <c r="B32" s="1" t="s">
        <v>222</v>
      </c>
      <c r="C32" s="1" t="s">
        <v>168</v>
      </c>
      <c r="D32" s="1" t="s">
        <v>169</v>
      </c>
      <c r="E32" s="1" t="s">
        <v>223</v>
      </c>
      <c r="F32" s="1" t="s">
        <v>151</v>
      </c>
      <c r="G32" s="1" t="s">
        <v>152</v>
      </c>
      <c r="H32" s="1" t="s">
        <v>225</v>
      </c>
      <c r="I32" s="1">
        <v>57</v>
      </c>
      <c r="J32" s="1">
        <v>13.4</v>
      </c>
      <c r="K32" s="1">
        <v>70</v>
      </c>
      <c r="L32" s="1">
        <v>60</v>
      </c>
      <c r="M32" s="1">
        <v>0.7</v>
      </c>
      <c r="N32" s="1">
        <v>0.3</v>
      </c>
      <c r="O32" s="1">
        <v>75</v>
      </c>
      <c r="P32" s="1">
        <v>0</v>
      </c>
      <c r="Q32" s="1">
        <f t="shared" si="0"/>
        <v>60.9</v>
      </c>
      <c r="R32" s="1" t="str">
        <f t="shared" si="1"/>
        <v>0</v>
      </c>
      <c r="S32" s="1" t="str">
        <f t="shared" si="2"/>
        <v>不采购</v>
      </c>
      <c r="T32" s="1" t="s">
        <v>306</v>
      </c>
      <c r="U32" s="1">
        <v>1</v>
      </c>
      <c r="V32" s="1" t="s">
        <v>298</v>
      </c>
      <c r="W32" s="1" t="s">
        <v>306</v>
      </c>
      <c r="X32" s="1">
        <v>0</v>
      </c>
      <c r="Y32" s="1" t="s">
        <v>117</v>
      </c>
      <c r="Z32" s="1" t="s">
        <v>328</v>
      </c>
      <c r="AA32" s="1" t="s">
        <v>344</v>
      </c>
      <c r="AB32" s="1" t="s">
        <v>309</v>
      </c>
    </row>
    <row r="33" spans="1:28" x14ac:dyDescent="0.25">
      <c r="A33" s="1">
        <v>32</v>
      </c>
      <c r="B33" s="1" t="s">
        <v>226</v>
      </c>
      <c r="C33" s="1" t="s">
        <v>168</v>
      </c>
      <c r="D33" s="1" t="s">
        <v>169</v>
      </c>
      <c r="E33" s="1" t="s">
        <v>223</v>
      </c>
      <c r="F33" s="1" t="s">
        <v>151</v>
      </c>
      <c r="G33" s="1" t="s">
        <v>152</v>
      </c>
      <c r="H33" s="1" t="s">
        <v>230</v>
      </c>
      <c r="I33" s="1">
        <v>54</v>
      </c>
      <c r="J33" s="1">
        <v>17</v>
      </c>
      <c r="K33" s="1">
        <v>50</v>
      </c>
      <c r="L33" s="1">
        <v>60</v>
      </c>
      <c r="M33" s="1">
        <v>0.7</v>
      </c>
      <c r="N33" s="1">
        <v>0.3</v>
      </c>
      <c r="O33" s="1">
        <v>75</v>
      </c>
      <c r="P33" s="1">
        <v>0</v>
      </c>
      <c r="Q33" s="1">
        <f t="shared" si="0"/>
        <v>52.8</v>
      </c>
      <c r="R33" s="1" t="str">
        <f t="shared" si="1"/>
        <v>0</v>
      </c>
      <c r="S33" s="1" t="str">
        <f t="shared" si="2"/>
        <v>不采购</v>
      </c>
      <c r="T33" s="1" t="s">
        <v>299</v>
      </c>
      <c r="U33" s="1">
        <v>0</v>
      </c>
      <c r="V33" s="1" t="s">
        <v>310</v>
      </c>
      <c r="W33" s="1" t="s">
        <v>300</v>
      </c>
      <c r="X33" s="1">
        <v>1</v>
      </c>
      <c r="Y33" s="1" t="s">
        <v>124</v>
      </c>
      <c r="Z33" s="1" t="s">
        <v>330</v>
      </c>
      <c r="AA33" s="1" t="s">
        <v>345</v>
      </c>
      <c r="AB33" s="1" t="s">
        <v>303</v>
      </c>
    </row>
    <row r="34" spans="1:28" x14ac:dyDescent="0.25">
      <c r="A34" s="1">
        <v>33</v>
      </c>
      <c r="B34" s="1" t="s">
        <v>231</v>
      </c>
      <c r="C34" s="1" t="s">
        <v>232</v>
      </c>
      <c r="D34" s="1" t="s">
        <v>233</v>
      </c>
      <c r="E34" s="1" t="s">
        <v>112</v>
      </c>
      <c r="F34" s="1" t="s">
        <v>113</v>
      </c>
      <c r="G34" s="1" t="s">
        <v>114</v>
      </c>
      <c r="H34" s="1" t="s">
        <v>236</v>
      </c>
      <c r="I34" s="1">
        <v>92</v>
      </c>
      <c r="J34" s="1">
        <v>6.3</v>
      </c>
      <c r="K34" s="1">
        <v>90</v>
      </c>
      <c r="L34" s="1">
        <v>60</v>
      </c>
      <c r="M34" s="1">
        <v>0.7</v>
      </c>
      <c r="N34" s="1">
        <v>0.3</v>
      </c>
      <c r="O34" s="1">
        <v>75</v>
      </c>
      <c r="P34" s="1">
        <v>1</v>
      </c>
      <c r="Q34" s="1">
        <f t="shared" si="0"/>
        <v>91.399999999999991</v>
      </c>
      <c r="R34" s="1" t="str">
        <f t="shared" si="1"/>
        <v>1</v>
      </c>
      <c r="S34" s="1" t="str">
        <f t="shared" si="2"/>
        <v>采购</v>
      </c>
      <c r="T34" s="1" t="s">
        <v>299</v>
      </c>
      <c r="U34" s="1">
        <v>1</v>
      </c>
      <c r="V34" s="1" t="s">
        <v>298</v>
      </c>
      <c r="W34" s="1" t="s">
        <v>300</v>
      </c>
      <c r="X34" s="1">
        <v>1</v>
      </c>
      <c r="Y34" s="1" t="s">
        <v>124</v>
      </c>
      <c r="Z34" s="1" t="s">
        <v>301</v>
      </c>
      <c r="AA34" s="1" t="s">
        <v>346</v>
      </c>
      <c r="AB34" s="1" t="s">
        <v>303</v>
      </c>
    </row>
    <row r="35" spans="1:28" x14ac:dyDescent="0.25">
      <c r="A35" s="1">
        <v>34</v>
      </c>
      <c r="B35" s="1" t="s">
        <v>237</v>
      </c>
      <c r="C35" s="1" t="s">
        <v>232</v>
      </c>
      <c r="D35" s="1" t="s">
        <v>233</v>
      </c>
      <c r="E35" s="1" t="s">
        <v>112</v>
      </c>
      <c r="F35" s="1" t="s">
        <v>113</v>
      </c>
      <c r="G35" s="1" t="s">
        <v>114</v>
      </c>
      <c r="H35" s="1" t="s">
        <v>239</v>
      </c>
      <c r="I35" s="1">
        <v>85</v>
      </c>
      <c r="J35" s="1">
        <v>7.6</v>
      </c>
      <c r="K35" s="1">
        <v>80</v>
      </c>
      <c r="L35" s="1">
        <v>60</v>
      </c>
      <c r="M35" s="1">
        <v>0.7</v>
      </c>
      <c r="N35" s="1">
        <v>0.3</v>
      </c>
      <c r="O35" s="1">
        <v>75</v>
      </c>
      <c r="P35" s="1">
        <v>1</v>
      </c>
      <c r="Q35" s="1">
        <f t="shared" si="0"/>
        <v>83.5</v>
      </c>
      <c r="R35" s="1" t="str">
        <f t="shared" si="1"/>
        <v>1</v>
      </c>
      <c r="S35" s="1" t="str">
        <f t="shared" si="2"/>
        <v>采购</v>
      </c>
      <c r="T35" s="1" t="s">
        <v>299</v>
      </c>
      <c r="U35" s="1">
        <v>1</v>
      </c>
      <c r="V35" s="1" t="s">
        <v>298</v>
      </c>
      <c r="W35" s="1" t="s">
        <v>300</v>
      </c>
      <c r="X35" s="1">
        <v>1</v>
      </c>
      <c r="Y35" s="1" t="s">
        <v>124</v>
      </c>
      <c r="Z35" s="1" t="s">
        <v>304</v>
      </c>
      <c r="AA35" s="1" t="s">
        <v>347</v>
      </c>
      <c r="AB35" s="1" t="s">
        <v>303</v>
      </c>
    </row>
    <row r="36" spans="1:28" x14ac:dyDescent="0.25">
      <c r="A36" s="1">
        <v>35</v>
      </c>
      <c r="B36" s="1" t="s">
        <v>240</v>
      </c>
      <c r="C36" s="1" t="s">
        <v>232</v>
      </c>
      <c r="D36" s="1" t="s">
        <v>233</v>
      </c>
      <c r="E36" s="1" t="s">
        <v>112</v>
      </c>
      <c r="F36" s="1" t="s">
        <v>113</v>
      </c>
      <c r="G36" s="1" t="s">
        <v>114</v>
      </c>
      <c r="H36" s="1" t="s">
        <v>241</v>
      </c>
      <c r="I36" s="1">
        <v>78</v>
      </c>
      <c r="J36" s="1">
        <v>8.1999999999999993</v>
      </c>
      <c r="K36" s="1">
        <v>75.400000000000006</v>
      </c>
      <c r="L36" s="1">
        <v>60</v>
      </c>
      <c r="M36" s="1">
        <v>0.7</v>
      </c>
      <c r="N36" s="1">
        <v>0.3</v>
      </c>
      <c r="O36" s="1">
        <v>75</v>
      </c>
      <c r="P36" s="1">
        <v>1</v>
      </c>
      <c r="Q36" s="1">
        <f t="shared" si="0"/>
        <v>77.22</v>
      </c>
      <c r="R36" s="1" t="str">
        <f t="shared" si="1"/>
        <v>1</v>
      </c>
      <c r="S36" s="1" t="str">
        <f t="shared" si="2"/>
        <v>采购</v>
      </c>
      <c r="T36" s="1" t="s">
        <v>306</v>
      </c>
      <c r="U36" s="1">
        <v>1</v>
      </c>
      <c r="V36" s="1" t="s">
        <v>298</v>
      </c>
      <c r="W36" s="1" t="s">
        <v>348</v>
      </c>
      <c r="X36" s="1">
        <v>1</v>
      </c>
      <c r="Y36" s="1" t="s">
        <v>124</v>
      </c>
      <c r="Z36" s="1" t="s">
        <v>442</v>
      </c>
      <c r="AA36" s="1" t="s">
        <v>444</v>
      </c>
      <c r="AB36" s="1" t="s">
        <v>349</v>
      </c>
    </row>
    <row r="37" spans="1:28" x14ac:dyDescent="0.25">
      <c r="A37" s="1">
        <v>36</v>
      </c>
      <c r="B37" s="1" t="s">
        <v>242</v>
      </c>
      <c r="C37" s="1" t="s">
        <v>232</v>
      </c>
      <c r="D37" s="1" t="s">
        <v>233</v>
      </c>
      <c r="E37" s="1" t="s">
        <v>112</v>
      </c>
      <c r="F37" s="1" t="s">
        <v>113</v>
      </c>
      <c r="G37" s="1" t="s">
        <v>114</v>
      </c>
      <c r="H37" s="1" t="s">
        <v>243</v>
      </c>
      <c r="I37" s="1">
        <v>72</v>
      </c>
      <c r="J37" s="1">
        <v>9.6</v>
      </c>
      <c r="K37" s="1">
        <v>64.599999999999994</v>
      </c>
      <c r="L37" s="1">
        <v>60</v>
      </c>
      <c r="M37" s="1">
        <v>0.7</v>
      </c>
      <c r="N37" s="1">
        <v>0.3</v>
      </c>
      <c r="O37" s="1">
        <v>75</v>
      </c>
      <c r="P37" s="1">
        <v>1</v>
      </c>
      <c r="Q37" s="1">
        <f t="shared" si="0"/>
        <v>69.78</v>
      </c>
      <c r="R37" s="1" t="str">
        <f t="shared" si="1"/>
        <v>0</v>
      </c>
      <c r="S37" s="1" t="str">
        <f t="shared" si="2"/>
        <v>不采购</v>
      </c>
      <c r="T37" s="1" t="s">
        <v>299</v>
      </c>
      <c r="U37" s="1">
        <v>0</v>
      </c>
      <c r="V37" s="1" t="s">
        <v>310</v>
      </c>
      <c r="W37" s="1" t="s">
        <v>300</v>
      </c>
      <c r="X37" s="1">
        <v>1</v>
      </c>
      <c r="Y37" s="1" t="s">
        <v>124</v>
      </c>
      <c r="Z37" s="1" t="s">
        <v>350</v>
      </c>
      <c r="AA37" s="1" t="s">
        <v>351</v>
      </c>
      <c r="AB37" s="1" t="s">
        <v>303</v>
      </c>
    </row>
    <row r="38" spans="1:28" x14ac:dyDescent="0.25">
      <c r="A38" s="1">
        <v>37</v>
      </c>
      <c r="B38" s="1" t="s">
        <v>244</v>
      </c>
      <c r="C38" s="1" t="s">
        <v>232</v>
      </c>
      <c r="D38" s="1" t="s">
        <v>233</v>
      </c>
      <c r="E38" s="1" t="s">
        <v>245</v>
      </c>
      <c r="F38" s="1" t="s">
        <v>113</v>
      </c>
      <c r="G38" s="1" t="s">
        <v>114</v>
      </c>
      <c r="H38" s="1" t="s">
        <v>250</v>
      </c>
      <c r="I38" s="1">
        <v>66</v>
      </c>
      <c r="J38" s="1">
        <v>12.2</v>
      </c>
      <c r="K38" s="1">
        <v>44.6</v>
      </c>
      <c r="L38" s="1">
        <v>60</v>
      </c>
      <c r="M38" s="1">
        <v>0.7</v>
      </c>
      <c r="N38" s="1">
        <v>0.3</v>
      </c>
      <c r="O38" s="1">
        <v>75</v>
      </c>
      <c r="P38" s="1">
        <v>1</v>
      </c>
      <c r="Q38" s="1">
        <f t="shared" si="0"/>
        <v>59.58</v>
      </c>
      <c r="R38" s="1" t="str">
        <f t="shared" si="1"/>
        <v>0</v>
      </c>
      <c r="S38" s="1" t="str">
        <f t="shared" si="2"/>
        <v>不采购</v>
      </c>
      <c r="T38" s="1" t="s">
        <v>299</v>
      </c>
      <c r="U38" s="1">
        <v>0</v>
      </c>
      <c r="V38" s="1" t="s">
        <v>310</v>
      </c>
      <c r="W38" s="1" t="s">
        <v>300</v>
      </c>
      <c r="X38" s="1">
        <v>1</v>
      </c>
      <c r="Y38" s="1" t="s">
        <v>124</v>
      </c>
      <c r="Z38" s="1" t="s">
        <v>352</v>
      </c>
      <c r="AA38" s="1" t="s">
        <v>451</v>
      </c>
      <c r="AB38" s="1" t="s">
        <v>303</v>
      </c>
    </row>
    <row r="39" spans="1:28" x14ac:dyDescent="0.25">
      <c r="A39" s="1">
        <v>38</v>
      </c>
      <c r="B39" s="1" t="s">
        <v>251</v>
      </c>
      <c r="C39" s="1" t="s">
        <v>232</v>
      </c>
      <c r="D39" s="1" t="s">
        <v>233</v>
      </c>
      <c r="E39" s="1" t="s">
        <v>252</v>
      </c>
      <c r="F39" s="1" t="s">
        <v>113</v>
      </c>
      <c r="G39" s="1" t="s">
        <v>114</v>
      </c>
      <c r="H39" s="1" t="s">
        <v>257</v>
      </c>
      <c r="I39" s="1">
        <v>59</v>
      </c>
      <c r="J39" s="1">
        <v>8.1999999999999993</v>
      </c>
      <c r="K39" s="1">
        <v>75.400000000000006</v>
      </c>
      <c r="L39" s="1">
        <v>60</v>
      </c>
      <c r="M39" s="1">
        <v>0.7</v>
      </c>
      <c r="N39" s="1">
        <v>0.3</v>
      </c>
      <c r="O39" s="1">
        <v>75</v>
      </c>
      <c r="P39" s="1">
        <v>0</v>
      </c>
      <c r="Q39" s="1">
        <f t="shared" si="0"/>
        <v>63.92</v>
      </c>
      <c r="R39" s="1" t="str">
        <f t="shared" si="1"/>
        <v>0</v>
      </c>
      <c r="S39" s="1" t="str">
        <f t="shared" si="2"/>
        <v>不采购</v>
      </c>
      <c r="T39" s="1" t="s">
        <v>306</v>
      </c>
      <c r="U39" s="1">
        <v>0</v>
      </c>
      <c r="V39" s="1" t="s">
        <v>310</v>
      </c>
      <c r="W39" s="1" t="s">
        <v>348</v>
      </c>
      <c r="X39" s="1">
        <v>1</v>
      </c>
      <c r="Y39" s="1" t="s">
        <v>124</v>
      </c>
      <c r="Z39" s="1" t="s">
        <v>447</v>
      </c>
      <c r="AA39" s="1" t="s">
        <v>452</v>
      </c>
      <c r="AB39" s="1" t="s">
        <v>349</v>
      </c>
    </row>
    <row r="40" spans="1:28" x14ac:dyDescent="0.25">
      <c r="A40" s="1">
        <v>39</v>
      </c>
      <c r="B40" s="1" t="s">
        <v>258</v>
      </c>
      <c r="C40" s="1" t="s">
        <v>232</v>
      </c>
      <c r="D40" s="1" t="s">
        <v>233</v>
      </c>
      <c r="E40" s="1" t="s">
        <v>252</v>
      </c>
      <c r="F40" s="1" t="s">
        <v>113</v>
      </c>
      <c r="G40" s="1" t="s">
        <v>114</v>
      </c>
      <c r="H40" s="1" t="s">
        <v>260</v>
      </c>
      <c r="I40" s="1">
        <v>52</v>
      </c>
      <c r="J40" s="1">
        <v>10.9</v>
      </c>
      <c r="K40" s="1">
        <v>54.6</v>
      </c>
      <c r="L40" s="1">
        <v>60</v>
      </c>
      <c r="M40" s="1">
        <v>0.7</v>
      </c>
      <c r="N40" s="1">
        <v>0.3</v>
      </c>
      <c r="O40" s="1">
        <v>75</v>
      </c>
      <c r="P40" s="1">
        <v>0</v>
      </c>
      <c r="Q40" s="1">
        <f t="shared" si="0"/>
        <v>52.78</v>
      </c>
      <c r="R40" s="1" t="str">
        <f t="shared" si="1"/>
        <v>0</v>
      </c>
      <c r="S40" s="1" t="str">
        <f t="shared" si="2"/>
        <v>不采购</v>
      </c>
      <c r="T40" s="1" t="s">
        <v>299</v>
      </c>
      <c r="U40" s="1">
        <v>0</v>
      </c>
      <c r="V40" s="1" t="s">
        <v>310</v>
      </c>
      <c r="W40" s="1" t="s">
        <v>300</v>
      </c>
      <c r="X40" s="1">
        <v>1</v>
      </c>
      <c r="Y40" s="1" t="s">
        <v>124</v>
      </c>
      <c r="Z40" s="1" t="s">
        <v>353</v>
      </c>
      <c r="AA40" s="1" t="s">
        <v>354</v>
      </c>
      <c r="AB40" s="1" t="s">
        <v>303</v>
      </c>
    </row>
    <row r="41" spans="1:28" x14ac:dyDescent="0.25">
      <c r="A41" s="1">
        <v>40</v>
      </c>
      <c r="B41" s="1" t="s">
        <v>261</v>
      </c>
      <c r="C41" s="1" t="s">
        <v>232</v>
      </c>
      <c r="D41" s="1" t="s">
        <v>233</v>
      </c>
      <c r="E41" s="1" t="s">
        <v>252</v>
      </c>
      <c r="F41" s="1" t="s">
        <v>113</v>
      </c>
      <c r="G41" s="1" t="s">
        <v>114</v>
      </c>
      <c r="H41" s="1" t="s">
        <v>265</v>
      </c>
      <c r="I41" s="1">
        <v>44</v>
      </c>
      <c r="J41" s="1">
        <v>14.1</v>
      </c>
      <c r="K41" s="1">
        <v>30</v>
      </c>
      <c r="L41" s="1">
        <v>60</v>
      </c>
      <c r="M41" s="1">
        <v>0.7</v>
      </c>
      <c r="N41" s="1">
        <v>0.3</v>
      </c>
      <c r="O41" s="1">
        <v>75</v>
      </c>
      <c r="P41" s="1">
        <v>0</v>
      </c>
      <c r="Q41" s="1">
        <f t="shared" si="0"/>
        <v>39.799999999999997</v>
      </c>
      <c r="R41" s="1" t="str">
        <f t="shared" si="1"/>
        <v>0</v>
      </c>
      <c r="S41" s="1" t="str">
        <f t="shared" si="2"/>
        <v>不采购</v>
      </c>
      <c r="T41" s="1" t="s">
        <v>299</v>
      </c>
      <c r="U41" s="1">
        <v>0</v>
      </c>
      <c r="V41" s="1" t="s">
        <v>310</v>
      </c>
      <c r="W41" s="1" t="s">
        <v>300</v>
      </c>
      <c r="X41" s="1">
        <v>1</v>
      </c>
      <c r="Y41" s="1" t="s">
        <v>124</v>
      </c>
      <c r="Z41" s="1" t="s">
        <v>316</v>
      </c>
      <c r="AA41" s="1" t="s">
        <v>355</v>
      </c>
      <c r="AB41" s="1" t="s">
        <v>303</v>
      </c>
    </row>
    <row r="42" spans="1:28" x14ac:dyDescent="0.25">
      <c r="A42" s="1">
        <v>41</v>
      </c>
      <c r="B42" s="1" t="s">
        <v>266</v>
      </c>
      <c r="C42" s="1" t="s">
        <v>232</v>
      </c>
      <c r="D42" s="1" t="s">
        <v>233</v>
      </c>
      <c r="E42" t="s">
        <v>422</v>
      </c>
      <c r="F42" s="1" t="s">
        <v>151</v>
      </c>
      <c r="G42" s="1" t="s">
        <v>152</v>
      </c>
      <c r="H42" t="s">
        <v>433</v>
      </c>
      <c r="I42" s="1">
        <v>83</v>
      </c>
      <c r="J42" s="1">
        <v>7.6</v>
      </c>
      <c r="K42" s="1">
        <v>80</v>
      </c>
      <c r="L42" s="1">
        <v>60</v>
      </c>
      <c r="M42" s="1">
        <v>0.7</v>
      </c>
      <c r="N42" s="1">
        <v>0.3</v>
      </c>
      <c r="O42" s="1">
        <v>75</v>
      </c>
      <c r="P42" s="1">
        <v>1</v>
      </c>
      <c r="Q42" s="1">
        <f t="shared" si="0"/>
        <v>82.1</v>
      </c>
      <c r="R42" s="1" t="str">
        <f t="shared" si="1"/>
        <v>1</v>
      </c>
      <c r="S42" s="1" t="str">
        <f t="shared" si="2"/>
        <v>采购</v>
      </c>
      <c r="T42" s="1" t="s">
        <v>299</v>
      </c>
      <c r="U42" s="1">
        <v>0</v>
      </c>
      <c r="V42" s="1" t="s">
        <v>310</v>
      </c>
      <c r="W42" s="1" t="s">
        <v>348</v>
      </c>
      <c r="X42" s="1">
        <v>0</v>
      </c>
      <c r="Y42" s="1" t="s">
        <v>117</v>
      </c>
      <c r="Z42" s="1" t="s">
        <v>356</v>
      </c>
      <c r="AA42" s="1" t="s">
        <v>445</v>
      </c>
      <c r="AB42" s="1" t="s">
        <v>303</v>
      </c>
    </row>
    <row r="43" spans="1:28" x14ac:dyDescent="0.25">
      <c r="A43" s="1">
        <v>42</v>
      </c>
      <c r="B43" s="1" t="s">
        <v>271</v>
      </c>
      <c r="C43" s="1" t="s">
        <v>232</v>
      </c>
      <c r="D43" s="1" t="s">
        <v>233</v>
      </c>
      <c r="E43" t="s">
        <v>422</v>
      </c>
      <c r="F43" s="1" t="s">
        <v>151</v>
      </c>
      <c r="G43" s="1" t="s">
        <v>152</v>
      </c>
      <c r="H43" t="s">
        <v>434</v>
      </c>
      <c r="I43" s="1">
        <v>76</v>
      </c>
      <c r="J43" s="1">
        <v>9.6</v>
      </c>
      <c r="K43" s="1">
        <v>64.599999999999994</v>
      </c>
      <c r="L43" s="1">
        <v>60</v>
      </c>
      <c r="M43" s="1">
        <v>0.7</v>
      </c>
      <c r="N43" s="1">
        <v>0.3</v>
      </c>
      <c r="O43" s="1">
        <v>75</v>
      </c>
      <c r="P43" s="1">
        <v>1</v>
      </c>
      <c r="Q43" s="1">
        <f t="shared" si="0"/>
        <v>72.58</v>
      </c>
      <c r="R43" s="1" t="str">
        <f t="shared" si="1"/>
        <v>0</v>
      </c>
      <c r="S43" s="1" t="str">
        <f t="shared" si="2"/>
        <v>不采购</v>
      </c>
      <c r="T43" s="1" t="s">
        <v>306</v>
      </c>
      <c r="U43" s="1">
        <v>0</v>
      </c>
      <c r="V43" s="1" t="s">
        <v>310</v>
      </c>
      <c r="W43" s="1" t="s">
        <v>348</v>
      </c>
      <c r="X43" s="1">
        <v>1</v>
      </c>
      <c r="Y43" s="1" t="s">
        <v>124</v>
      </c>
      <c r="Z43" s="1" t="s">
        <v>443</v>
      </c>
      <c r="AA43" s="1" t="s">
        <v>446</v>
      </c>
      <c r="AB43" s="1" t="s">
        <v>349</v>
      </c>
    </row>
    <row r="44" spans="1:28" x14ac:dyDescent="0.25">
      <c r="A44" s="1">
        <v>43</v>
      </c>
      <c r="B44" s="1" t="s">
        <v>277</v>
      </c>
      <c r="C44" s="1" t="s">
        <v>232</v>
      </c>
      <c r="D44" s="1" t="s">
        <v>233</v>
      </c>
      <c r="E44" t="s">
        <v>245</v>
      </c>
      <c r="F44" s="1" t="s">
        <v>151</v>
      </c>
      <c r="G44" s="1" t="s">
        <v>152</v>
      </c>
      <c r="H44" t="s">
        <v>279</v>
      </c>
      <c r="I44" s="1">
        <v>71</v>
      </c>
      <c r="J44" s="1">
        <v>10.9</v>
      </c>
      <c r="K44" s="1">
        <v>54.6</v>
      </c>
      <c r="L44" s="1">
        <v>60</v>
      </c>
      <c r="M44" s="1">
        <v>0.7</v>
      </c>
      <c r="N44" s="1">
        <v>0.3</v>
      </c>
      <c r="O44" s="1">
        <v>75</v>
      </c>
      <c r="P44" s="1">
        <v>1</v>
      </c>
      <c r="Q44" s="1">
        <f t="shared" si="0"/>
        <v>66.08</v>
      </c>
      <c r="R44" s="1" t="str">
        <f t="shared" si="1"/>
        <v>0</v>
      </c>
      <c r="S44" s="1" t="str">
        <f t="shared" si="2"/>
        <v>不采购</v>
      </c>
      <c r="T44" s="1" t="s">
        <v>299</v>
      </c>
      <c r="U44" s="1">
        <v>0</v>
      </c>
      <c r="V44" s="1" t="s">
        <v>310</v>
      </c>
      <c r="W44" s="1" t="s">
        <v>348</v>
      </c>
      <c r="X44" s="1">
        <v>1</v>
      </c>
      <c r="Y44" s="1" t="s">
        <v>124</v>
      </c>
      <c r="Z44" s="1" t="s">
        <v>448</v>
      </c>
      <c r="AA44" s="1" t="s">
        <v>453</v>
      </c>
      <c r="AB44" s="1" t="s">
        <v>303</v>
      </c>
    </row>
    <row r="45" spans="1:28" x14ac:dyDescent="0.25">
      <c r="A45" s="1">
        <v>44</v>
      </c>
      <c r="B45" s="1" t="s">
        <v>280</v>
      </c>
      <c r="C45" s="1" t="s">
        <v>232</v>
      </c>
      <c r="D45" s="1" t="s">
        <v>233</v>
      </c>
      <c r="E45" t="s">
        <v>223</v>
      </c>
      <c r="F45" s="1" t="s">
        <v>151</v>
      </c>
      <c r="G45" s="1" t="s">
        <v>152</v>
      </c>
      <c r="H45" t="s">
        <v>285</v>
      </c>
      <c r="I45" s="1">
        <v>68</v>
      </c>
      <c r="J45" s="1">
        <v>12.5</v>
      </c>
      <c r="K45" s="1">
        <v>42.3</v>
      </c>
      <c r="L45" s="1">
        <v>60</v>
      </c>
      <c r="M45" s="1">
        <v>0.7</v>
      </c>
      <c r="N45" s="1">
        <v>0.3</v>
      </c>
      <c r="O45" s="1">
        <v>75</v>
      </c>
      <c r="P45" s="1">
        <v>1</v>
      </c>
      <c r="Q45" s="1">
        <f t="shared" si="0"/>
        <v>60.289999999999992</v>
      </c>
      <c r="R45" s="1" t="str">
        <f t="shared" si="1"/>
        <v>0</v>
      </c>
      <c r="S45" s="1" t="str">
        <f t="shared" si="2"/>
        <v>不采购</v>
      </c>
      <c r="T45" s="1" t="s">
        <v>299</v>
      </c>
      <c r="U45" s="1">
        <v>0</v>
      </c>
      <c r="V45" s="1" t="s">
        <v>310</v>
      </c>
      <c r="W45" s="1" t="s">
        <v>348</v>
      </c>
      <c r="X45" s="1">
        <v>1</v>
      </c>
      <c r="Y45" s="1" t="s">
        <v>124</v>
      </c>
      <c r="Z45" s="1" t="s">
        <v>449</v>
      </c>
      <c r="AA45" s="1" t="s">
        <v>454</v>
      </c>
      <c r="AB45" s="1" t="s">
        <v>303</v>
      </c>
    </row>
    <row r="46" spans="1:28" x14ac:dyDescent="0.25">
      <c r="A46" s="1">
        <v>45</v>
      </c>
      <c r="B46" s="1" t="s">
        <v>286</v>
      </c>
      <c r="C46" s="1" t="s">
        <v>232</v>
      </c>
      <c r="D46" s="1" t="s">
        <v>233</v>
      </c>
      <c r="E46" t="s">
        <v>245</v>
      </c>
      <c r="F46" s="1" t="s">
        <v>151</v>
      </c>
      <c r="G46" s="1" t="s">
        <v>152</v>
      </c>
      <c r="H46" t="s">
        <v>270</v>
      </c>
      <c r="I46" s="1">
        <v>63</v>
      </c>
      <c r="J46" s="1">
        <v>14.1</v>
      </c>
      <c r="K46" s="1">
        <v>30</v>
      </c>
      <c r="L46" s="1">
        <v>60</v>
      </c>
      <c r="M46" s="1">
        <v>0.7</v>
      </c>
      <c r="N46" s="1">
        <v>0.3</v>
      </c>
      <c r="O46" s="1">
        <v>75</v>
      </c>
      <c r="P46" s="1">
        <v>1</v>
      </c>
      <c r="Q46" s="1">
        <f t="shared" si="0"/>
        <v>53.099999999999994</v>
      </c>
      <c r="R46" s="1" t="str">
        <f t="shared" si="1"/>
        <v>0</v>
      </c>
      <c r="S46" s="1" t="str">
        <f t="shared" si="2"/>
        <v>不采购</v>
      </c>
      <c r="T46" s="1" t="s">
        <v>306</v>
      </c>
      <c r="U46" s="1">
        <v>0</v>
      </c>
      <c r="V46" s="1" t="s">
        <v>310</v>
      </c>
      <c r="W46" s="1" t="s">
        <v>348</v>
      </c>
      <c r="X46" s="1">
        <v>1</v>
      </c>
      <c r="Y46" s="1" t="s">
        <v>124</v>
      </c>
      <c r="Z46" s="1" t="s">
        <v>450</v>
      </c>
      <c r="AA46" s="1" t="s">
        <v>455</v>
      </c>
      <c r="AB46" s="1" t="s">
        <v>349</v>
      </c>
    </row>
    <row r="47" spans="1:28" x14ac:dyDescent="0.25">
      <c r="A47" s="1">
        <v>46</v>
      </c>
      <c r="B47" s="1" t="s">
        <v>287</v>
      </c>
      <c r="C47" s="1" t="s">
        <v>232</v>
      </c>
      <c r="D47" s="1" t="s">
        <v>233</v>
      </c>
      <c r="E47" t="s">
        <v>281</v>
      </c>
      <c r="F47" s="1" t="s">
        <v>151</v>
      </c>
      <c r="G47" s="1" t="s">
        <v>152</v>
      </c>
      <c r="H47" t="s">
        <v>276</v>
      </c>
      <c r="I47" s="1">
        <v>61</v>
      </c>
      <c r="J47" s="1">
        <v>15.1</v>
      </c>
      <c r="K47" s="1">
        <v>22.3</v>
      </c>
      <c r="L47" s="1">
        <v>60</v>
      </c>
      <c r="M47" s="1">
        <v>0.7</v>
      </c>
      <c r="N47" s="1">
        <v>0.3</v>
      </c>
      <c r="O47" s="1">
        <v>75</v>
      </c>
      <c r="P47" s="1">
        <v>1</v>
      </c>
      <c r="Q47" s="1">
        <f t="shared" si="0"/>
        <v>49.389999999999993</v>
      </c>
      <c r="R47" s="1" t="str">
        <f t="shared" si="1"/>
        <v>0</v>
      </c>
      <c r="S47" s="1" t="str">
        <f t="shared" si="2"/>
        <v>不采购</v>
      </c>
      <c r="T47" s="1" t="s">
        <v>306</v>
      </c>
      <c r="U47" s="1">
        <v>1</v>
      </c>
      <c r="V47" s="1" t="s">
        <v>298</v>
      </c>
      <c r="W47" s="1" t="s">
        <v>348</v>
      </c>
      <c r="X47" s="1">
        <v>0</v>
      </c>
      <c r="Y47" s="1" t="s">
        <v>117</v>
      </c>
      <c r="Z47" s="1" t="s">
        <v>357</v>
      </c>
      <c r="AA47" s="1" t="s">
        <v>358</v>
      </c>
      <c r="AB47" s="1" t="s">
        <v>349</v>
      </c>
    </row>
    <row r="48" spans="1:28" x14ac:dyDescent="0.25">
      <c r="A48" s="1">
        <v>47</v>
      </c>
      <c r="B48" s="1" t="s">
        <v>288</v>
      </c>
      <c r="C48" s="1" t="s">
        <v>232</v>
      </c>
      <c r="D48" s="1" t="s">
        <v>233</v>
      </c>
      <c r="E48" t="s">
        <v>422</v>
      </c>
      <c r="F48" s="1" t="s">
        <v>151</v>
      </c>
      <c r="G48" s="1" t="s">
        <v>152</v>
      </c>
      <c r="H48" t="s">
        <v>435</v>
      </c>
      <c r="I48" s="1">
        <v>57</v>
      </c>
      <c r="J48" s="1">
        <v>8.9</v>
      </c>
      <c r="K48" s="1">
        <v>70</v>
      </c>
      <c r="L48" s="1">
        <v>60</v>
      </c>
      <c r="M48" s="1">
        <v>0.7</v>
      </c>
      <c r="N48" s="1">
        <v>0.3</v>
      </c>
      <c r="O48" s="1">
        <v>75</v>
      </c>
      <c r="P48" s="1">
        <v>0</v>
      </c>
      <c r="Q48" s="1">
        <f t="shared" si="0"/>
        <v>60.9</v>
      </c>
      <c r="R48" s="1" t="str">
        <f t="shared" si="1"/>
        <v>0</v>
      </c>
      <c r="S48" s="1" t="str">
        <f t="shared" si="2"/>
        <v>不采购</v>
      </c>
      <c r="T48" s="1" t="s">
        <v>306</v>
      </c>
      <c r="U48" s="1">
        <v>1</v>
      </c>
      <c r="V48" s="1" t="s">
        <v>298</v>
      </c>
      <c r="W48" s="1" t="s">
        <v>348</v>
      </c>
      <c r="X48" s="1">
        <v>0</v>
      </c>
      <c r="Y48" s="1" t="s">
        <v>117</v>
      </c>
      <c r="Z48" s="1" t="s">
        <v>328</v>
      </c>
      <c r="AA48" s="1" t="s">
        <v>359</v>
      </c>
      <c r="AB48" s="1" t="s">
        <v>349</v>
      </c>
    </row>
    <row r="49" spans="1:28" x14ac:dyDescent="0.25">
      <c r="A49" s="1">
        <v>48</v>
      </c>
      <c r="B49" s="1" t="s">
        <v>289</v>
      </c>
      <c r="C49" s="1" t="s">
        <v>232</v>
      </c>
      <c r="D49" s="1" t="s">
        <v>233</v>
      </c>
      <c r="E49" t="s">
        <v>422</v>
      </c>
      <c r="F49" s="1" t="s">
        <v>151</v>
      </c>
      <c r="G49" s="1" t="s">
        <v>152</v>
      </c>
      <c r="H49" t="s">
        <v>436</v>
      </c>
      <c r="I49" s="1">
        <v>54</v>
      </c>
      <c r="J49" s="1">
        <v>11.5</v>
      </c>
      <c r="K49" s="1">
        <v>50</v>
      </c>
      <c r="L49" s="1">
        <v>60</v>
      </c>
      <c r="M49" s="1">
        <v>0.7</v>
      </c>
      <c r="N49" s="1">
        <v>0.3</v>
      </c>
      <c r="O49" s="1">
        <v>75</v>
      </c>
      <c r="P49" s="1">
        <v>0</v>
      </c>
      <c r="Q49" s="1">
        <f t="shared" si="0"/>
        <v>52.8</v>
      </c>
      <c r="R49" s="1" t="str">
        <f t="shared" si="1"/>
        <v>0</v>
      </c>
      <c r="S49" s="1" t="str">
        <f t="shared" si="2"/>
        <v>不采购</v>
      </c>
      <c r="T49" s="1" t="s">
        <v>299</v>
      </c>
      <c r="U49" s="1">
        <v>1</v>
      </c>
      <c r="V49" s="1" t="s">
        <v>298</v>
      </c>
      <c r="W49" s="1" t="s">
        <v>348</v>
      </c>
      <c r="X49" s="1">
        <v>0</v>
      </c>
      <c r="Y49" s="1" t="s">
        <v>117</v>
      </c>
      <c r="Z49" s="1" t="s">
        <v>360</v>
      </c>
      <c r="AA49" s="1" t="s">
        <v>361</v>
      </c>
      <c r="AB49" s="1" t="s">
        <v>303</v>
      </c>
    </row>
  </sheetData>
  <autoFilter ref="A1:AB51" xr:uid="{00000000-0001-0000-0300-000000000000}"/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workbookViewId="0">
      <selection activeCell="M14" sqref="M14"/>
    </sheetView>
  </sheetViews>
  <sheetFormatPr defaultRowHeight="14" x14ac:dyDescent="0.25"/>
  <cols>
    <col min="3" max="3" width="12.453125" bestFit="1" customWidth="1"/>
    <col min="7" max="7" width="20" bestFit="1" customWidth="1"/>
    <col min="13" max="13" width="110.7265625" bestFit="1" customWidth="1"/>
  </cols>
  <sheetData>
    <row r="1" spans="1:14" x14ac:dyDescent="0.25">
      <c r="A1" t="s">
        <v>362</v>
      </c>
    </row>
    <row r="3" spans="1:14" x14ac:dyDescent="0.25">
      <c r="A3" t="s">
        <v>363</v>
      </c>
      <c r="B3" t="s">
        <v>364</v>
      </c>
      <c r="C3" t="s">
        <v>39</v>
      </c>
      <c r="D3" t="s">
        <v>47</v>
      </c>
      <c r="E3" t="s">
        <v>99</v>
      </c>
      <c r="F3" t="s">
        <v>100</v>
      </c>
      <c r="G3" t="s">
        <v>44</v>
      </c>
      <c r="H3" t="s">
        <v>365</v>
      </c>
      <c r="I3" t="s">
        <v>366</v>
      </c>
      <c r="J3" t="s">
        <v>367</v>
      </c>
      <c r="K3" t="s">
        <v>102</v>
      </c>
      <c r="L3" t="s">
        <v>60</v>
      </c>
      <c r="M3" t="s">
        <v>368</v>
      </c>
      <c r="N3" t="s">
        <v>11</v>
      </c>
    </row>
    <row r="4" spans="1:14" x14ac:dyDescent="0.25">
      <c r="A4">
        <v>1</v>
      </c>
      <c r="B4" t="s">
        <v>369</v>
      </c>
      <c r="C4" t="s">
        <v>109</v>
      </c>
      <c r="D4" t="s">
        <v>111</v>
      </c>
      <c r="E4" t="s">
        <v>112</v>
      </c>
      <c r="F4" t="s">
        <v>113</v>
      </c>
      <c r="G4" t="s">
        <v>370</v>
      </c>
      <c r="H4" t="s">
        <v>371</v>
      </c>
      <c r="I4" t="s">
        <v>115</v>
      </c>
      <c r="J4">
        <v>1</v>
      </c>
      <c r="K4" t="s">
        <v>115</v>
      </c>
      <c r="L4">
        <v>1</v>
      </c>
      <c r="M4" t="s">
        <v>372</v>
      </c>
      <c r="N4" t="s">
        <v>373</v>
      </c>
    </row>
    <row r="5" spans="1:14" x14ac:dyDescent="0.25">
      <c r="A5">
        <v>2</v>
      </c>
      <c r="B5" t="s">
        <v>369</v>
      </c>
      <c r="C5" t="s">
        <v>147</v>
      </c>
      <c r="D5" t="s">
        <v>111</v>
      </c>
      <c r="E5" t="s">
        <v>137</v>
      </c>
      <c r="F5" t="s">
        <v>113</v>
      </c>
      <c r="G5" t="s">
        <v>374</v>
      </c>
      <c r="H5" t="s">
        <v>371</v>
      </c>
      <c r="I5" t="s">
        <v>116</v>
      </c>
      <c r="J5">
        <v>0</v>
      </c>
      <c r="K5" t="s">
        <v>116</v>
      </c>
      <c r="L5">
        <v>0</v>
      </c>
      <c r="M5" t="s">
        <v>391</v>
      </c>
      <c r="N5" t="s">
        <v>373</v>
      </c>
    </row>
    <row r="6" spans="1:14" x14ac:dyDescent="0.25">
      <c r="A6">
        <v>3</v>
      </c>
      <c r="B6" t="s">
        <v>369</v>
      </c>
      <c r="C6" t="s">
        <v>167</v>
      </c>
      <c r="D6" t="s">
        <v>169</v>
      </c>
      <c r="E6" t="s">
        <v>112</v>
      </c>
      <c r="F6" t="s">
        <v>113</v>
      </c>
      <c r="G6" t="s">
        <v>375</v>
      </c>
      <c r="H6" t="s">
        <v>371</v>
      </c>
      <c r="I6" t="s">
        <v>115</v>
      </c>
      <c r="J6">
        <v>1</v>
      </c>
      <c r="K6" t="s">
        <v>115</v>
      </c>
      <c r="L6">
        <v>1</v>
      </c>
      <c r="M6" t="s">
        <v>376</v>
      </c>
      <c r="N6" t="s">
        <v>373</v>
      </c>
    </row>
    <row r="7" spans="1:14" x14ac:dyDescent="0.25">
      <c r="A7">
        <v>4</v>
      </c>
      <c r="B7" t="s">
        <v>369</v>
      </c>
      <c r="C7" t="s">
        <v>226</v>
      </c>
      <c r="D7" t="s">
        <v>169</v>
      </c>
      <c r="E7" t="s">
        <v>223</v>
      </c>
      <c r="F7" t="s">
        <v>151</v>
      </c>
      <c r="G7" t="s">
        <v>377</v>
      </c>
      <c r="H7" t="s">
        <v>371</v>
      </c>
      <c r="I7" t="s">
        <v>116</v>
      </c>
      <c r="J7">
        <v>0</v>
      </c>
      <c r="K7" t="s">
        <v>115</v>
      </c>
      <c r="L7">
        <v>1</v>
      </c>
      <c r="M7" t="s">
        <v>376</v>
      </c>
      <c r="N7" t="s">
        <v>373</v>
      </c>
    </row>
    <row r="8" spans="1:14" x14ac:dyDescent="0.25">
      <c r="A8">
        <v>5</v>
      </c>
      <c r="B8" t="s">
        <v>378</v>
      </c>
      <c r="C8" t="s">
        <v>379</v>
      </c>
      <c r="D8" t="s">
        <v>111</v>
      </c>
      <c r="E8" t="s">
        <v>112</v>
      </c>
      <c r="F8" t="s">
        <v>113</v>
      </c>
      <c r="G8" t="s">
        <v>380</v>
      </c>
      <c r="H8" t="s">
        <v>381</v>
      </c>
      <c r="I8" t="s">
        <v>298</v>
      </c>
      <c r="J8">
        <v>1</v>
      </c>
      <c r="K8" t="s">
        <v>298</v>
      </c>
      <c r="L8">
        <v>1</v>
      </c>
      <c r="M8" t="s">
        <v>382</v>
      </c>
      <c r="N8" t="s">
        <v>373</v>
      </c>
    </row>
    <row r="9" spans="1:14" x14ac:dyDescent="0.25">
      <c r="A9">
        <v>6</v>
      </c>
      <c r="B9" t="s">
        <v>378</v>
      </c>
      <c r="C9" t="s">
        <v>383</v>
      </c>
      <c r="D9" t="s">
        <v>111</v>
      </c>
      <c r="E9" t="s">
        <v>140</v>
      </c>
      <c r="F9" t="s">
        <v>113</v>
      </c>
      <c r="G9" t="s">
        <v>384</v>
      </c>
      <c r="H9" t="s">
        <v>381</v>
      </c>
      <c r="I9" t="s">
        <v>310</v>
      </c>
      <c r="J9">
        <v>0</v>
      </c>
      <c r="K9" t="s">
        <v>310</v>
      </c>
      <c r="L9">
        <v>0</v>
      </c>
      <c r="M9" t="s">
        <v>385</v>
      </c>
      <c r="N9" t="s">
        <v>373</v>
      </c>
    </row>
    <row r="10" spans="1:14" x14ac:dyDescent="0.25">
      <c r="A10">
        <v>7</v>
      </c>
      <c r="B10" t="s">
        <v>378</v>
      </c>
      <c r="C10" t="s">
        <v>386</v>
      </c>
      <c r="D10" t="s">
        <v>169</v>
      </c>
      <c r="E10" t="s">
        <v>181</v>
      </c>
      <c r="F10" t="s">
        <v>113</v>
      </c>
      <c r="G10" t="s">
        <v>387</v>
      </c>
      <c r="H10" t="s">
        <v>381</v>
      </c>
      <c r="I10" t="s">
        <v>310</v>
      </c>
      <c r="J10">
        <v>0</v>
      </c>
      <c r="K10" t="s">
        <v>310</v>
      </c>
      <c r="L10">
        <v>0</v>
      </c>
      <c r="M10" t="s">
        <v>388</v>
      </c>
      <c r="N10" t="s">
        <v>373</v>
      </c>
    </row>
    <row r="11" spans="1:14" x14ac:dyDescent="0.25">
      <c r="A11">
        <v>8</v>
      </c>
      <c r="B11" t="s">
        <v>378</v>
      </c>
      <c r="C11" t="s">
        <v>389</v>
      </c>
      <c r="D11" t="s">
        <v>233</v>
      </c>
      <c r="E11" t="s">
        <v>223</v>
      </c>
      <c r="F11" t="s">
        <v>113</v>
      </c>
      <c r="G11" t="s">
        <v>390</v>
      </c>
      <c r="H11" t="s">
        <v>381</v>
      </c>
      <c r="I11" t="s">
        <v>310</v>
      </c>
      <c r="J11">
        <v>0</v>
      </c>
      <c r="K11" t="s">
        <v>310</v>
      </c>
      <c r="L11">
        <v>0</v>
      </c>
      <c r="M11" t="s">
        <v>437</v>
      </c>
      <c r="N11" t="s">
        <v>373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README</vt:lpstr>
      <vt:lpstr>Codebook</vt:lpstr>
      <vt:lpstr>题库总表</vt:lpstr>
      <vt:lpstr>Exp2_多目标采购</vt:lpstr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 Lin</cp:lastModifiedBy>
  <dcterms:created xsi:type="dcterms:W3CDTF">2026-04-25T14:44:54Z</dcterms:created>
  <dcterms:modified xsi:type="dcterms:W3CDTF">2026-04-28T22:58:09Z</dcterms:modified>
</cp:coreProperties>
</file>