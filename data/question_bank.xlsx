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题库总表" sheetId="1" r:id="rId1"/>
    <sheet name="实验设计说明" sheetId="2" r:id="rId2"/>
    <sheet name="被试数据记录模板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<sst xmlns="http://schemas.openxmlformats.org/spreadsheetml/2006/main" count="1406" uniqueCount="339">
  <si>
    <t>题号</t>
  </si>
  <si>
    <t>图片ID</t>
  </si>
  <si>
    <t>文件名</t>
  </si>
  <si>
    <t>产品类别</t>
  </si>
  <si>
    <t>缺陷类型</t>
  </si>
  <si>
    <t>复杂度</t>
  </si>
  <si>
    <t>真实标签</t>
  </si>
  <si>
    <t>AI建议</t>
  </si>
  <si>
    <t>AI是否正确</t>
  </si>
  <si>
    <t>实验一-无解释呈现</t>
  </si>
  <si>
    <t>实验一-统一解释内容</t>
  </si>
  <si>
    <t>实验二-指标型解释内容</t>
  </si>
  <si>
    <t>实验二-理由型解释内容</t>
  </si>
  <si>
    <t>ground_truth文件路径</t>
  </si>
  <si>
    <t>图片源路径</t>
  </si>
  <si>
    <t>Q01</t>
  </si>
  <si>
    <t>BOT001</t>
  </si>
  <si>
    <t>005.png</t>
  </si>
  <si>
    <t>瓶子</t>
  </si>
  <si>
    <t>污染</t>
  </si>
  <si>
    <t>低复杂</t>
  </si>
  <si>
    <t>NG（不合格）</t>
  </si>
  <si>
    <t>正确</t>
  </si>
  <si>
    <t>仅显示AI判定：NG（不合格）</t>
  </si>
  <si>
    <t>系统检测到中心区域存在可疑异常特征，瓶体与正常样本存在差异，综合判断为不合格。</t>
  </si>
  <si>
    <t>置信度：98%｜异常面积占比：12.29%｜异常像素：99,554 px｜主异常位置：中心区域｜异常显著性：高</t>
  </si>
  <si>
    <t>系统在中心区域检测到污染/附着异常，瓶体与正常模板相比存在可分辨差异，异常区域约占图像12.29%。综合异常位置、面积与形态特征，判定为不合格。</t>
  </si>
  <si>
    <t>D:\学习资料\大四\毕业论文\MVTec_AD_Thesis\00_raw\bottle\ground_truth\contamination\005_mask.png</t>
  </si>
  <si>
    <t>D:\学习资料\大四\毕业论文\MVTec_AD_Thesis\00_raw\bottle\test\contamination\005.png</t>
  </si>
  <si>
    <t>Q02</t>
  </si>
  <si>
    <t>BOT003</t>
  </si>
  <si>
    <t>006.png</t>
  </si>
  <si>
    <t>大破损</t>
  </si>
  <si>
    <t>OK（合格）</t>
  </si>
  <si>
    <t>错误（陷阱题）</t>
  </si>
  <si>
    <t>仅显示AI判定：OK（合格）</t>
  </si>
  <si>
    <t>系统未检测到稳定异常区域，瓶体整体特征处于可接受范围，综合判断为合格。</t>
  </si>
  <si>
    <t>置信度：68%｜异常面积占比：15.29%｜异常像素：123,810 px｜整体一致性：中｜判定位置：全局扫描</t>
  </si>
  <si>
    <t>系统未检测到足够显著的异常信号，当前可见偏差规模较小（参考异常面积约15.29%）且不具备稳定连续性，因此仍输出合格。该题为漏检样本，解释反映的是AI当时的判断依据。</t>
  </si>
  <si>
    <t>D:\学习资料\大四\毕业论文\MVTec_AD_Thesis\00_raw\bottle\ground_truth\broken_large\006_mask.png</t>
  </si>
  <si>
    <t>D:\学习资料\大四\毕业论文\MVTec_AD_Thesis\00_raw\bottle\test\broken_large\006.png</t>
  </si>
  <si>
    <t>Q03</t>
  </si>
  <si>
    <t>BOT007</t>
  </si>
  <si>
    <t>018.png</t>
  </si>
  <si>
    <t>置信度：98%｜异常面积占比：13.10%｜异常像素：106,080 px｜主异常位置：中心区域｜异常显著性：高</t>
  </si>
  <si>
    <t>系统在中心区域检测到明显破损，瓶体与正常模板相比存在可分辨差异，异常区域约占图像13.10%。综合异常位置、面积与形态特征，判定为不合格。</t>
  </si>
  <si>
    <t>D:\学习资料\大四\毕业论文\MVTec_AD_Thesis\00_raw\bottle\ground_truth\broken_large\018_mask.png</t>
  </si>
  <si>
    <t>D:\学习资料\大四\毕业论文\MVTec_AD_Thesis\00_raw\bottle\test\broken_large\018.png</t>
  </si>
  <si>
    <t>Q04</t>
  </si>
  <si>
    <t>BOT008</t>
  </si>
  <si>
    <t>011.png</t>
  </si>
  <si>
    <t>置信度：98%｜异常面积占比：14.91%｜异常像素：120,781 px｜主异常位置：中心区域｜异常显著性：高</t>
  </si>
  <si>
    <t>系统在中心区域检测到污染/附着异常，瓶体与正常模板相比存在可分辨差异，异常区域约占图像14.91%。综合异常位置、面积与形态特征，判定为不合格。</t>
  </si>
  <si>
    <t>D:\学习资料\大四\毕业论文\MVTec_AD_Thesis\00_raw\bottle\ground_truth\contamination\011_mask.png</t>
  </si>
  <si>
    <t>D:\学习资料\大四\毕业论文\MVTec_AD_Thesis\00_raw\bottle\test\contamination\011.png</t>
  </si>
  <si>
    <t>Q05</t>
  </si>
  <si>
    <t>BOT024</t>
  </si>
  <si>
    <t>003.png</t>
  </si>
  <si>
    <t>无缺陷</t>
  </si>
  <si>
    <t>置信度：64%｜异常面积占比：0.00%｜异常像素：0 px｜主异常位置：中心区域｜异常显著性：低</t>
  </si>
  <si>
    <t>系统在局部扫描中发现与正常模板不一致的可疑区域，主要表现为纹理或边缘响应异常，因此输出不合格。该题为误报样本，解释反映的是AI当时的判断依据。</t>
  </si>
  <si>
    <t>（无缺陷，ground_truth不适用）</t>
  </si>
  <si>
    <t>D:\学习资料\大四\毕业论文\MVTec_AD_Thesis\00_raw\bottle\test\good\003.png</t>
  </si>
  <si>
    <t>Q06</t>
  </si>
  <si>
    <t>BOT025</t>
  </si>
  <si>
    <t>004.png</t>
  </si>
  <si>
    <t>置信度：89%｜异常面积占比：0.00%｜异常像素：0 px｜整体一致性：高｜判定位置：全局扫描</t>
  </si>
  <si>
    <t>系统未检测到稳定且连续的异常区域，瓶体整体轮廓、纹理或表面状态处于可接受波动范围内，因此判定为合格。</t>
  </si>
  <si>
    <t>D:\学习资料\大四\毕业论文\MVTec_AD_Thesis\00_raw\bottle\test\good\004.png</t>
  </si>
  <si>
    <t>Q07</t>
  </si>
  <si>
    <t>BOT028</t>
  </si>
  <si>
    <t>007.png</t>
  </si>
  <si>
    <t>置信度：88%｜异常面积占比：0.00%｜异常像素：0 px｜整体一致性：高｜判定位置：全局扫描</t>
  </si>
  <si>
    <t>D:\学习资料\大四\毕业论文\MVTec_AD_Thesis\00_raw\bottle\test\good\007.png</t>
  </si>
  <si>
    <t>Q08</t>
  </si>
  <si>
    <t>CAP001</t>
  </si>
  <si>
    <t>001.png</t>
  </si>
  <si>
    <t>胶囊</t>
  </si>
  <si>
    <t>裂缝</t>
  </si>
  <si>
    <t>系统检测到左侧存在可疑异常特征，胶囊表面与正常样本存在差异，综合判断为不合格。</t>
  </si>
  <si>
    <t>置信度：90%｜异常面积占比：2.33%｜异常像素：23,268 px｜主异常位置：左侧｜异常显著性：中</t>
  </si>
  <si>
    <t>系统在左侧检测到裂缝，胶囊表面与正常模板相比存在可分辨差异，异常区域约占图像2.33%。综合异常位置、面积与形态特征，判定为不合格。</t>
  </si>
  <si>
    <t>D:\学习资料\大四\毕业论文\MVTec_AD_Thesis\00_raw\capsule\ground_truth\crack\001_mask.png</t>
  </si>
  <si>
    <t>D:\学习资料\大四\毕业论文\MVTec_AD_Thesis\00_raw\capsule\test\crack\001.png</t>
  </si>
  <si>
    <t>Q09</t>
  </si>
  <si>
    <t>CAP004</t>
  </si>
  <si>
    <t>010.png</t>
  </si>
  <si>
    <t>系统检测到中心区域存在可疑异常特征，胶囊表面与正常样本存在差异，综合判断为不合格。</t>
  </si>
  <si>
    <t>置信度：89%｜异常面积占比：1.80%｜异常像素：17,974 px｜主异常位置：中心区域｜异常显著性：中</t>
  </si>
  <si>
    <t>系统在中心区域检测到裂缝，胶囊表面与正常模板相比存在可分辨差异，异常区域约占图像1.80%。综合异常位置、面积与形态特征，判定为不合格。</t>
  </si>
  <si>
    <t>D:\学习资料\大四\毕业论文\MVTec_AD_Thesis\00_raw\capsule\ground_truth\crack\010_mask.png</t>
  </si>
  <si>
    <t>D:\学习资料\大四\毕业论文\MVTec_AD_Thesis\00_raw\capsule\test\crack\010.png</t>
  </si>
  <si>
    <t>Q10</t>
  </si>
  <si>
    <t>CAP008</t>
  </si>
  <si>
    <t>挤压变形</t>
  </si>
  <si>
    <t>系统未检测到稳定异常区域，胶囊表面整体特征处于可接受范围，综合判断为合格。</t>
  </si>
  <si>
    <t>置信度：68%｜异常面积占比：6.62%｜异常像素：66,178 px｜整体一致性：中｜判定位置：全局扫描</t>
  </si>
  <si>
    <t>系统未检测到足够显著的异常信号，当前可见偏差规模较小（参考异常面积约6.62%）且不具备稳定连续性，因此仍输出合格。该题为漏检样本，解释反映的是AI当时的判断依据。</t>
  </si>
  <si>
    <t>D:\学习资料\大四\毕业论文\MVTec_AD_Thesis\00_raw\capsule\ground_truth\squeeze\007_mask.png</t>
  </si>
  <si>
    <t>D:\学习资料\大四\毕业论文\MVTec_AD_Thesis\00_raw\capsule\test\squeeze\007.png</t>
  </si>
  <si>
    <t>Q11</t>
  </si>
  <si>
    <t>CAP012</t>
  </si>
  <si>
    <t>000.png</t>
  </si>
  <si>
    <t>针孔</t>
  </si>
  <si>
    <t>系统检测到右侧存在可疑异常特征，胶囊表面与正常样本存在差异，综合判断为不合格。</t>
  </si>
  <si>
    <t>置信度：89%｜异常面积占比：1.23%｜异常像素：12,289 px｜主异常位置：右侧｜异常显著性：中</t>
  </si>
  <si>
    <t>系统在右侧检测到针孔，胶囊表面与正常模板相比存在可分辨差异，异常区域约占图像1.23%。综合异常位置、面积与形态特征，判定为不合格。</t>
  </si>
  <si>
    <t>D:\学习资料\大四\毕业论文\MVTec_AD_Thesis\00_raw\capsule\ground_truth\poke\000_mask.png</t>
  </si>
  <si>
    <t>D:\学习资料\大四\毕业论文\MVTec_AD_Thesis\00_raw\capsule\test\poke\000.png</t>
  </si>
  <si>
    <t>Q12</t>
  </si>
  <si>
    <t>CAP021</t>
  </si>
  <si>
    <t>D:\学习资料\大四\毕业论文\MVTec_AD_Thesis\00_raw\capsule\test\good\001.png</t>
  </si>
  <si>
    <t>Q13</t>
  </si>
  <si>
    <t>CAP026</t>
  </si>
  <si>
    <t>系统未检测到稳定且连续的异常区域，胶囊表面整体轮廓、纹理或表面状态处于可接受波动范围内，因此判定为合格。</t>
  </si>
  <si>
    <t>D:\学习资料\大四\毕业论文\MVTec_AD_Thesis\00_raw\capsule\test\good\006.png</t>
  </si>
  <si>
    <t>Q14</t>
  </si>
  <si>
    <t>CAP027</t>
  </si>
  <si>
    <t>置信度：86%｜异常面积占比：0.00%｜异常像素：0 px｜整体一致性：高｜判定位置：全局扫描</t>
  </si>
  <si>
    <t>D:\学习资料\大四\毕业论文\MVTec_AD_Thesis\00_raw\capsule\test\good\007.png</t>
  </si>
  <si>
    <t>Q15</t>
  </si>
  <si>
    <t>CAP040</t>
  </si>
  <si>
    <t>020.png</t>
  </si>
  <si>
    <t>D:\学习资料\大四\毕业论文\MVTec_AD_Thesis\00_raw\capsule\test\good\020.png</t>
  </si>
  <si>
    <t>Q16</t>
  </si>
  <si>
    <t>MNU003</t>
  </si>
  <si>
    <t>金属螺母</t>
  </si>
  <si>
    <t>弯曲</t>
  </si>
  <si>
    <t>系统检测到上部存在可疑异常特征，螺母表面与边缘与正常样本存在差异，综合判断为不合格。</t>
  </si>
  <si>
    <t>置信度：94%｜异常面积占比：4.70%｜异常像素：23,025 px｜主异常位置：上部｜异常显著性：高</t>
  </si>
  <si>
    <t>系统在上部检测到弯曲变形，螺母表面与边缘与正常模板相比存在可分辨差异，异常区域约占图像4.70%。综合异常位置、面积与形态特征，判定为不合格。</t>
  </si>
  <si>
    <t>D:\学习资料\大四\毕业论文\MVTec_AD_Thesis\00_raw\metal_nut\ground_truth\bent\000_mask.png</t>
  </si>
  <si>
    <t>D:\学习资料\大四\毕业论文\MVTec_AD_Thesis\00_raw\metal_nut\test\bent\000.png</t>
  </si>
  <si>
    <t>Q17</t>
  </si>
  <si>
    <t>MNU007</t>
  </si>
  <si>
    <t>019.png</t>
  </si>
  <si>
    <t>色差</t>
  </si>
  <si>
    <t>系统检测到右侧存在可疑异常特征，螺母表面与边缘与正常样本存在差异，综合判断为不合格。</t>
  </si>
  <si>
    <t>置信度：90%｜异常面积占比：2.28%｜异常像素：11,183 px｜主异常位置：右侧｜异常显著性：中</t>
  </si>
  <si>
    <t>系统在右侧检测到局部色差，螺母表面与边缘与正常模板相比存在可分辨差异，异常区域约占图像2.28%。综合异常位置、面积与形态特征，判定为不合格。</t>
  </si>
  <si>
    <t>D:\学习资料\大四\毕业论文\MVTec_AD_Thesis\00_raw\metal_nut\ground_truth\color\019_mask.png</t>
  </si>
  <si>
    <t>D:\学习资料\大四\毕业论文\MVTec_AD_Thesis\00_raw\metal_nut\test\color\019.png</t>
  </si>
  <si>
    <t>Q18</t>
  </si>
  <si>
    <t>MNU010</t>
  </si>
  <si>
    <t>系统未检测到稳定异常区域，螺母表面与边缘整体特征处于可接受范围，综合判断为合格。</t>
  </si>
  <si>
    <t>置信度：65%｜异常面积占比：4.49%｜异常像素：22,001 px｜整体一致性：中｜判定位置：全局扫描</t>
  </si>
  <si>
    <t>系统未检测到足够显著的异常信号，当前可见偏差规模较小（参考异常面积约4.49%）且不具备稳定连续性，因此仍输出合格。该题为漏检样本，解释反映的是AI当时的判断依据。</t>
  </si>
  <si>
    <t>D:\学习资料\大四\毕业论文\MVTec_AD_Thesis\00_raw\metal_nut\ground_truth\color\011_mask.png</t>
  </si>
  <si>
    <t>D:\学习资料\大四\毕业论文\MVTec_AD_Thesis\00_raw\metal_nut\test\color\011.png</t>
  </si>
  <si>
    <t>Q19</t>
  </si>
  <si>
    <t>MNU011</t>
  </si>
  <si>
    <t>012.png</t>
  </si>
  <si>
    <t>系统检测到上部右侧存在可疑异常特征，螺母表面与边缘与正常样本存在差异，综合判断为不合格。</t>
  </si>
  <si>
    <t>置信度：97%｜异常面积占比：6.57%｜异常像素：32,188 px｜主异常位置：上部右侧｜异常显著性：高</t>
  </si>
  <si>
    <t>系统在上部右侧检测到局部色差，螺母表面与边缘与正常模板相比存在可分辨差异，异常区域约占图像6.57%。综合异常位置、面积与形态特征，判定为不合格。</t>
  </si>
  <si>
    <t>D:\学习资料\大四\毕业论文\MVTec_AD_Thesis\00_raw\metal_nut\ground_truth\color\012_mask.png</t>
  </si>
  <si>
    <t>D:\学习资料\大四\毕业论文\MVTec_AD_Thesis\00_raw\metal_nut\test\color\012.png</t>
  </si>
  <si>
    <t>Q20</t>
  </si>
  <si>
    <t>MNU024</t>
  </si>
  <si>
    <t>系统未检测到稳定且连续的异常区域，螺母表面与边缘整体轮廓、纹理或表面状态处于可接受波动范围内，因此判定为合格。</t>
  </si>
  <si>
    <t>D:\学习资料\大四\毕业论文\MVTec_AD_Thesis\00_raw\metal_nut\test\good\004.png</t>
  </si>
  <si>
    <t>Q21</t>
  </si>
  <si>
    <t>MNU029</t>
  </si>
  <si>
    <t>009.png</t>
  </si>
  <si>
    <t>系统检测到中心区域存在可疑异常特征，螺母表面与边缘与正常样本存在差异，综合判断为不合格。</t>
  </si>
  <si>
    <t>置信度：65%｜异常面积占比：0.00%｜异常像素：0 px｜主异常位置：中心区域｜异常显著性：低</t>
  </si>
  <si>
    <t>D:\学习资料\大四\毕业论文\MVTec_AD_Thesis\00_raw\metal_nut\test\good\009.png</t>
  </si>
  <si>
    <t>Q22</t>
  </si>
  <si>
    <t>MNU036</t>
  </si>
  <si>
    <t>016.png</t>
  </si>
  <si>
    <t>置信度：91%｜异常面积占比：0.00%｜异常像素：0 px｜整体一致性：高｜判定位置：全局扫描</t>
  </si>
  <si>
    <t>D:\学习资料\大四\毕业论文\MVTec_AD_Thesis\00_raw\metal_nut\test\good\016.png</t>
  </si>
  <si>
    <t>Q23</t>
  </si>
  <si>
    <t>MNU040</t>
  </si>
  <si>
    <t>D:\学习资料\大四\毕业论文\MVTec_AD_Thesis\00_raw\metal_nut\test\good\020.png</t>
  </si>
  <si>
    <t>Q24</t>
  </si>
  <si>
    <t>BOT015</t>
  </si>
  <si>
    <t>高复杂</t>
  </si>
  <si>
    <t>系统检测到右侧存在可疑异常特征，瓶体与正常样本存在差异，综合判断为不合格。</t>
  </si>
  <si>
    <t>置信度：92%｜异常面积占比：3.33%｜异常像素：27,013 px｜主异常位置：右侧｜异常显著性：高</t>
  </si>
  <si>
    <t>系统在右侧检测到污染/附着异常，瓶体与正常模板相比存在可分辨差异，异常区域约占图像3.33%。综合异常位置、面积与形态特征，判定为不合格。</t>
  </si>
  <si>
    <t>D:\学习资料\大四\毕业论文\MVTec_AD_Thesis\00_raw\bottle\ground_truth\contamination\019_mask.png</t>
  </si>
  <si>
    <t>D:\学习资料\大四\毕业论文\MVTec_AD_Thesis\00_raw\bottle\test\contamination\019.png</t>
  </si>
  <si>
    <t>Q25</t>
  </si>
  <si>
    <t>BOT016</t>
  </si>
  <si>
    <t>小破损</t>
  </si>
  <si>
    <t>置信度：59%｜异常面积占比：0.88%｜异常像素：7,166 px｜整体一致性：中｜判定位置：全局扫描</t>
  </si>
  <si>
    <t>系统未检测到足够显著的异常信号，当前可见偏差规模较小（参考异常面积约0.88%）且不具备稳定连续性，因此仍输出合格。该题为漏检样本，解释反映的是AI当时的判断依据。</t>
  </si>
  <si>
    <t>D:\学习资料\大四\毕业论文\MVTec_AD_Thesis\00_raw\bottle\ground_truth\broken_small\000_mask.png</t>
  </si>
  <si>
    <t>D:\学习资料\大四\毕业论文\MVTec_AD_Thesis\00_raw\bottle\test\broken_small\000.png</t>
  </si>
  <si>
    <t>Q26</t>
  </si>
  <si>
    <t>BOT018</t>
  </si>
  <si>
    <t>置信度：96%｜异常面积占比：13.78%｜异常像素：111,640 px｜主异常位置：中心区域｜异常显著性：高</t>
  </si>
  <si>
    <t>系统在中心区域检测到污染/附着异常，瓶体与正常模板相比存在可分辨差异，异常区域约占图像13.78%。综合异常位置、面积与形态特征，判定为不合格。</t>
  </si>
  <si>
    <t>D:\学习资料\大四\毕业论文\MVTec_AD_Thesis\00_raw\bottle\ground_truth\contamination\009_mask.png</t>
  </si>
  <si>
    <t>D:\学习资料\大四\毕业论文\MVTec_AD_Thesis\00_raw\bottle\test\contamination\009.png</t>
  </si>
  <si>
    <t>Q27</t>
  </si>
  <si>
    <t>BOT019</t>
  </si>
  <si>
    <t>014.png</t>
  </si>
  <si>
    <t>系统检测到左侧存在可疑异常特征，瓶体与正常样本存在差异，综合判断为不合格。</t>
  </si>
  <si>
    <t>置信度：89%｜异常面积占比：1.80%｜异常像素：14,546 px｜主异常位置：左侧｜异常显著性：中</t>
  </si>
  <si>
    <t>系统在左侧检测到轻微破损，瓶体与正常模板相比存在可分辨差异，异常区域约占图像1.80%。综合异常位置、面积与形态特征，判定为不合格。</t>
  </si>
  <si>
    <t>D:\学习资料\大四\毕业论文\MVTec_AD_Thesis\00_raw\bottle\ground_truth\broken_small\014_mask.png</t>
  </si>
  <si>
    <t>D:\学习资料\大四\毕业论文\MVTec_AD_Thesis\00_raw\bottle\test\broken_small\014.png</t>
  </si>
  <si>
    <t>Q28</t>
  </si>
  <si>
    <t>BOT022</t>
  </si>
  <si>
    <t>置信度：85%｜异常面积占比：0.00%｜异常像素：0 px｜整体一致性：高｜判定位置：全局扫描</t>
  </si>
  <si>
    <t>D:\学习资料\大四\毕业论文\MVTec_AD_Thesis\00_raw\bottle\test\good\001.png</t>
  </si>
  <si>
    <t>Q29</t>
  </si>
  <si>
    <t>BOT027</t>
  </si>
  <si>
    <t>D:\学习资料\大四\毕业论文\MVTec_AD_Thesis\00_raw\bottle\test\good\006.png</t>
  </si>
  <si>
    <t>Q30</t>
  </si>
  <si>
    <t>BOT031</t>
  </si>
  <si>
    <t>D:\学习资料\大四\毕业论文\MVTec_AD_Thesis\00_raw\bottle\test\good\011.png</t>
  </si>
  <si>
    <t>Q31</t>
  </si>
  <si>
    <t>BOT033</t>
  </si>
  <si>
    <t>D:\学习资料\大四\毕业论文\MVTec_AD_Thesis\00_raw\bottle\test\good\012.png</t>
  </si>
  <si>
    <t>Q32</t>
  </si>
  <si>
    <t>CAP015</t>
  </si>
  <si>
    <t>置信度：87%｜异常面积占比：0.16%｜异常像素：1,607 px｜主异常位置：中心区域｜异常显著性：低</t>
  </si>
  <si>
    <t>系统在中心区域检测到针孔，胶囊表面与正常模板相比存在可分辨差异，异常区域约占图像0.16%。综合异常位置、面积与形态特征，判定为不合格。</t>
  </si>
  <si>
    <t>D:\学习资料\大四\毕业论文\MVTec_AD_Thesis\00_raw\capsule\ground_truth\poke\006_mask.png</t>
  </si>
  <si>
    <t>D:\学习资料\大四\毕业论文\MVTec_AD_Thesis\00_raw\capsule\test\poke\006.png</t>
  </si>
  <si>
    <t>Q33</t>
  </si>
  <si>
    <t>CAP017</t>
  </si>
  <si>
    <t>置信度：86%｜异常面积占比：0.29%｜异常像素：2,906 px｜主异常位置：右侧｜异常显著性：低</t>
  </si>
  <si>
    <t>系统在右侧检测到针孔，胶囊表面与正常模板相比存在可分辨差异，异常区域约占图像0.29%。综合异常位置、面积与形态特征，判定为不合格。</t>
  </si>
  <si>
    <t>D:\学习资料\大四\毕业论文\MVTec_AD_Thesis\00_raw\capsule\ground_truth\poke\012_mask.png</t>
  </si>
  <si>
    <t>D:\学习资料\大四\毕业论文\MVTec_AD_Thesis\00_raw\capsule\test\poke\012.png</t>
  </si>
  <si>
    <t>Q34</t>
  </si>
  <si>
    <t>CAP019</t>
  </si>
  <si>
    <t>002.png</t>
  </si>
  <si>
    <t>划痕</t>
  </si>
  <si>
    <t>置信度：60%｜异常面积占比：0.58%｜异常像素：5,762 px｜整体一致性：中｜判定位置：全局扫描</t>
  </si>
  <si>
    <t>系统未检测到足够显著的异常信号，当前可见偏差规模较小（参考异常面积约0.58%）且不具备稳定连续性，因此仍输出合格。该题为漏检样本，解释反映的是AI当时的判断依据。</t>
  </si>
  <si>
    <t>D:\学习资料\大四\毕业论文\MVTec_AD_Thesis\00_raw\capsule\ground_truth\scratch\002_mask.png</t>
  </si>
  <si>
    <t>D:\学习资料\大四\毕业论文\MVTec_AD_Thesis\00_raw\capsule\test\scratch\002.png</t>
  </si>
  <si>
    <t>Q35</t>
  </si>
  <si>
    <t>CAP020</t>
  </si>
  <si>
    <t>置信度：86%｜异常面积占比：0.30%｜异常像素：2,965 px｜主异常位置：中心区域｜异常显著性：低</t>
  </si>
  <si>
    <t>系统在中心区域检测到划痕，胶囊表面与正常模板相比存在可分辨差异，异常区域约占图像0.30%。综合异常位置、面积与形态特征，判定为不合格。</t>
  </si>
  <si>
    <t>D:\学习资料\大四\毕业论文\MVTec_AD_Thesis\00_raw\capsule\ground_truth\scratch\005_mask.png</t>
  </si>
  <si>
    <t>D:\学习资料\大四\毕业论文\MVTec_AD_Thesis\00_raw\capsule\test\scratch\005.png</t>
  </si>
  <si>
    <t>Q36</t>
  </si>
  <si>
    <t>CAP022</t>
  </si>
  <si>
    <t>置信度：66%｜异常面积占比：0.00%｜异常像素：0 px｜主异常位置：中心区域｜异常显著性：低</t>
  </si>
  <si>
    <t>D:\学习资料\大四\毕业论文\MVTec_AD_Thesis\00_raw\capsule\test\good\002.png</t>
  </si>
  <si>
    <t>Q37</t>
  </si>
  <si>
    <t>CAP025</t>
  </si>
  <si>
    <t>D:\学习资料\大四\毕业论文\MVTec_AD_Thesis\00_raw\capsule\test\good\005.png</t>
  </si>
  <si>
    <t>Q38</t>
  </si>
  <si>
    <t>CAP032</t>
  </si>
  <si>
    <t>D:\学习资料\大四\毕业论文\MVTec_AD_Thesis\00_raw\capsule\test\good\012.png</t>
  </si>
  <si>
    <t>Q39</t>
  </si>
  <si>
    <t>CAP034</t>
  </si>
  <si>
    <t>置信度：90%｜异常面积占比：0.00%｜异常像素：0 px｜整体一致性：高｜判定位置：全局扫描</t>
  </si>
  <si>
    <t>D:\学习资料\大四\毕业论文\MVTec_AD_Thesis\00_raw\capsule\test\good\014.png</t>
  </si>
  <si>
    <t>Q40</t>
  </si>
  <si>
    <t>MNU015</t>
  </si>
  <si>
    <t>021.png</t>
  </si>
  <si>
    <t>系统检测到下部左侧存在可疑异常特征，螺母表面与边缘与正常样本存在差异，综合判断为不合格。</t>
  </si>
  <si>
    <t>置信度：91%｜异常面积占比：2.01%｜异常像素：9,838 px｜主异常位置：下部左侧｜异常显著性：中</t>
  </si>
  <si>
    <t>系统在下部左侧检测到弯曲变形，螺母表面与边缘与正常模板相比存在可分辨差异，异常区域约占图像2.01%。综合异常位置、面积与形态特征，判定为不合格。</t>
  </si>
  <si>
    <t>D:\学习资料\大四\毕业论文\MVTec_AD_Thesis\00_raw\metal_nut\ground_truth\bent\021_mask.png</t>
  </si>
  <si>
    <t>D:\学习资料\大四\毕业论文\MVTec_AD_Thesis\00_raw\metal_nut\test\bent\021.png</t>
  </si>
  <si>
    <t>Q41</t>
  </si>
  <si>
    <t>MNU016</t>
  </si>
  <si>
    <t>022.png</t>
  </si>
  <si>
    <t>系统检测到下部存在可疑异常特征，螺母表面与边缘与正常样本存在差异，综合判断为不合格。</t>
  </si>
  <si>
    <t>置信度：96%｜异常面积占比：7.37%｜异常像素：36,121 px｜主异常位置：下部｜异常显著性：高</t>
  </si>
  <si>
    <t>系统在下部检测到划痕，螺母表面与边缘与正常模板相比存在可分辨差异，异常区域约占图像7.37%。综合异常位置、面积与形态特征，判定为不合格。</t>
  </si>
  <si>
    <t>D:\学习资料\大四\毕业论文\MVTec_AD_Thesis\00_raw\metal_nut\ground_truth\scratch\022_mask.png</t>
  </si>
  <si>
    <t>D:\学习资料\大四\毕业论文\MVTec_AD_Thesis\00_raw\metal_nut\test\scratch\022.png</t>
  </si>
  <si>
    <t>Q42</t>
  </si>
  <si>
    <t>MNU018</t>
  </si>
  <si>
    <t>置信度：61%｜异常面积占比：1.07%｜异常像素：5,223 px｜整体一致性：中｜判定位置：全局扫描</t>
  </si>
  <si>
    <t>系统未检测到足够显著的异常信号，当前可见偏差规模较小（参考异常面积约1.07%）且不具备稳定连续性，因此仍输出合格。该题为漏检样本，解释反映的是AI当时的判断依据。</t>
  </si>
  <si>
    <t>D:\学习资料\大四\毕业论文\MVTec_AD_Thesis\00_raw\metal_nut\ground_truth\bent\014_mask.png</t>
  </si>
  <si>
    <t>D:\学习资料\大四\毕业论文\MVTec_AD_Thesis\00_raw\metal_nut\test\bent\014.png</t>
  </si>
  <si>
    <t>Q43</t>
  </si>
  <si>
    <t>MNU019</t>
  </si>
  <si>
    <t>翻转</t>
  </si>
  <si>
    <t>置信度：97%｜异常面积占比：48.16%｜异常像素：235,963 px｜主异常位置：中心区域｜异常显著性：高</t>
  </si>
  <si>
    <t>系统在中心区域检测到朝向异常，螺母表面与边缘与正常模板相比存在可分辨差异，异常区域约占图像48.16%。综合异常位置、面积与形态特征，判定为不合格。</t>
  </si>
  <si>
    <t>D:\学习资料\大四\毕业论文\MVTec_AD_Thesis\00_raw\metal_nut\ground_truth\flip\022_mask.png</t>
  </si>
  <si>
    <t>D:\学习资料\大四\毕业论文\MVTec_AD_Thesis\00_raw\metal_nut\test\flip\022.png</t>
  </si>
  <si>
    <t>Q44</t>
  </si>
  <si>
    <t>MNU025</t>
  </si>
  <si>
    <t>D:\学习资料\大四\毕业论文\MVTec_AD_Thesis\00_raw\metal_nut\test\good\005.png</t>
  </si>
  <si>
    <t>Q45</t>
  </si>
  <si>
    <t>MNU027</t>
  </si>
  <si>
    <t>置信度：61%｜异常面积占比：0.00%｜异常像素：0 px｜主异常位置：中心区域｜异常显著性：低</t>
  </si>
  <si>
    <t>D:\学习资料\大四\毕业论文\MVTec_AD_Thesis\00_raw\metal_nut\test\good\007.png</t>
  </si>
  <si>
    <t>Q46</t>
  </si>
  <si>
    <t>MNU028</t>
  </si>
  <si>
    <t>008.png</t>
  </si>
  <si>
    <t>D:\学习资料\大四\毕业论文\MVTec_AD_Thesis\00_raw\metal_nut\test\good\008.png</t>
  </si>
  <si>
    <t>Q47</t>
  </si>
  <si>
    <t>MNU032</t>
  </si>
  <si>
    <t>D:\学习资料\大四\毕业论文\MVTec_AD_Thesis\00_raw\metal_nut\test\good\012.png</t>
  </si>
  <si>
    <t>Q48</t>
  </si>
  <si>
    <t>BOT023</t>
  </si>
  <si>
    <t>D:\学习资料\大四\毕业论文\MVTec_AD_Thesis\00_raw\bottle\test\good\002.png</t>
  </si>
  <si>
    <t>MVTec AD 实验题库 — 设计说明</t>
  </si>
  <si>
    <t/>
  </si>
  <si>
    <t>【数据来源】</t>
  </si>
  <si>
    <t>图像来自 MVTec AD 数据集（CC BY-NC-SA 4.0），本题库选用 bottle / capsule / metal_nut 三个类别的 test 集图像。</t>
  </si>
  <si>
    <t>ground_truth 路径指向数据集自带的像素级缺陷标注文件（仅 NG 图像有对应文件）。</t>
  </si>
  <si>
    <t>【题库构成】</t>
  </si>
  <si>
    <t>总题数：48 题。</t>
  </si>
  <si>
    <t>每个类别 16 题：低复杂 NG 4 题、低复杂 OK 4 题、高复杂 NG 4 题、高复杂 OK 4 题。</t>
  </si>
  <si>
    <t>三类产品分别为：瓶子（16 题）、胶囊（16 题）、金属螺母（16 题）。</t>
  </si>
  <si>
    <t>【AI准确率设置】</t>
  </si>
  <si>
    <t>共 48 题，其中 AI 正确 36 题（75%），AI 错误 12 题（25%）。</t>
  </si>
  <si>
    <t>每个类别均设置为 12 题正确、4 题错误；尽量在四个子条件（低复杂 NG / 低复杂 OK / 高复杂 NG / 高复杂 OK）中各保留 1 道错误题，以便测量适度依赖、过度依赖与依赖不足。</t>
  </si>
  <si>
    <t>【变量与实验结构】</t>
  </si>
  <si>
    <t>实验一：以“有无解释”为自变量（2 水平：无解释 / 有解释），建议采用组间设计。</t>
  </si>
  <si>
    <t>同一正式题库提供两个版本：实验一-无解释呈现（仅显示 AI 判定）与实验一-统一解释内容（提供中性解释文本）。</t>
  </si>
  <si>
    <t>实验二：在“有解释”条件下，进一步比较解释形式，采用 2（解释形式：指标型 / 理由型）× 2（任务复杂度：低复杂 / 高复杂）设计，建议采用被试内设计。</t>
  </si>
  <si>
    <t>实验二的两种解释文本已分别写入“实验二-指标型解释内容”和“实验二-理由型解释内容”两列。</t>
  </si>
  <si>
    <t>【任务复杂度划分依据】</t>
  </si>
  <si>
    <t>本题库采用研究者规则划分法对任务复杂度进行操作化：</t>
  </si>
  <si>
    <t>低复杂任务主要表现为缺陷显著、判断线索单一或正常样本特征典型；</t>
  </si>
  <si>
    <t>高复杂任务主要表现为缺陷较轻微、边界不清、存在干扰因素，或需要综合多个线索判断。</t>
  </si>
  <si>
    <t>【因变量计算规则】</t>
  </si>
  <si>
    <t>被试决策与 AI 建议一致，记为“采纳 AI”；被试决策与 AI 建议不一致，记为“未采纳 AI”。</t>
  </si>
  <si>
    <t>当 AI 正确且被试采纳时，记为“适当依赖”；当 AI 错误且被试采纳时，记为“过度依赖”；当 AI 正确但被试不采纳时，记为“依赖不足”；当 AI 错误且被试不采纳时，也记为“适当依赖”。</t>
  </si>
  <si>
    <t>【使用说明】</t>
  </si>
  <si>
    <t>“题库总表”可直接作为正式实验题目清单；“被试数据记录模板”已预置 48 题元数据，并在“是否采纳AI”“依赖类型”列写入自动计算公式。</t>
  </si>
  <si>
    <t>被试ID</t>
  </si>
  <si>
    <t>实验条件</t>
  </si>
  <si>
    <t>解释形式</t>
  </si>
  <si>
    <t>被试决策</t>
  </si>
  <si>
    <t>是否采纳AI</t>
  </si>
  <si>
    <t>依赖类型</t>
  </si>
  <si>
    <t>反应时间(ms)</t>
  </si>
  <si>
    <t>感知理解(1-7)</t>
  </si>
  <si>
    <t>信任(1-7)</t>
  </si>
  <si>
    <t>NASA-TLX认知负荷(0-100)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</si>
</sst>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i/>
      <sz val="9"/>
      <color rgb="FF808080"/>
      <name val="Arial"/>
      <charset val="134"/>
    </font>
    <font>
      <b/>
      <sz val="14"/>
      <color rgb="FFFFFFFF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1F1F1F"/>
      <name val="Calibri"/>
      <charset val="134"/>
      <scheme val="minor"/>
    </font>
    <font>
      <sz val="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2" borderId="0" xfId="49" applyFont="1" applyFill="1" applyAlignment="1">
      <alignment horizontal="center" vertical="center" wrapText="1"/>
    </xf>
    <xf numFmtId="0" fontId="2" fillId="0" borderId="0" xfId="49" applyFont="1" applyAlignment="1">
      <alignment horizontal="center" vertical="center" wrapText="1"/>
    </xf>
    <xf numFmtId="0" fontId="3" fillId="2" borderId="0" xfId="49" applyFont="1" applyFill="1" applyAlignment="1">
      <alignment horizontal="center" vertical="center"/>
    </xf>
    <xf numFmtId="0" fontId="4" fillId="3" borderId="0" xfId="49" applyFont="1" applyFill="1" applyAlignment="1">
      <alignment vertical="top" wrapText="1"/>
    </xf>
    <xf numFmtId="0" fontId="5" fillId="4" borderId="0" xfId="49" applyFont="1" applyFill="1" applyAlignment="1">
      <alignment vertical="top" wrapText="1"/>
    </xf>
    <xf numFmtId="0" fontId="6" fillId="5" borderId="0" xfId="49" applyFont="1" applyFill="1"/>
    <xf numFmtId="0" fontId="1" fillId="2" borderId="1" xfId="49" applyFont="1" applyFill="1" applyBorder="1" applyAlignment="1">
      <alignment horizontal="center" vertical="center" wrapText="1"/>
    </xf>
    <xf numFmtId="0" fontId="6" fillId="5" borderId="1" xfId="49" applyFont="1" applyFill="1" applyBorder="1" applyAlignment="1">
      <alignment horizontal="center" vertical="center" wrapText="1"/>
    </xf>
    <xf numFmtId="0" fontId="6" fillId="5" borderId="1" xfId="49" applyFont="1" applyFill="1" applyBorder="1" applyAlignment="1">
      <alignment horizontal="left" vertical="center" wrapText="1"/>
    </xf>
    <xf numFmtId="0" fontId="6" fillId="6" borderId="1" xfId="49" applyFont="1" applyFill="1" applyBorder="1" applyAlignment="1">
      <alignment horizontal="center" vertical="center" wrapText="1"/>
    </xf>
    <xf numFmtId="0" fontId="6" fillId="6" borderId="1" xfId="49" applyFont="1" applyFill="1" applyBorder="1" applyAlignment="1">
      <alignment horizontal="left" vertical="center" wrapText="1"/>
    </xf>
    <xf numFmtId="0" fontId="6" fillId="3" borderId="1" xfId="49" applyFont="1" applyFill="1" applyBorder="1" applyAlignment="1">
      <alignment horizontal="center" vertical="center" wrapText="1"/>
    </xf>
    <xf numFmtId="0" fontId="6" fillId="3" borderId="1" xfId="49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"/>
  <sheetViews>
    <sheetView tabSelected="1" zoomScale="70" zoomScaleNormal="70" topLeftCell="L1" workbookViewId="0">
      <selection activeCell="Q5" sqref="Q5"/>
    </sheetView>
  </sheetViews>
  <sheetFormatPr defaultColWidth="9" defaultRowHeight="14.5"/>
  <cols>
    <col min="1" max="1" width="8" customWidth="1"/>
    <col min="2" max="5" width="10" customWidth="1"/>
    <col min="6" max="6" width="8" customWidth="1"/>
    <col min="7" max="8" width="12" customWidth="1"/>
    <col min="9" max="9" width="14" customWidth="1"/>
    <col min="10" max="10" width="24" customWidth="1"/>
    <col min="11" max="11" width="42" customWidth="1"/>
    <col min="12" max="13" width="55" customWidth="1"/>
    <col min="14" max="15" width="60" customWidth="1"/>
  </cols>
  <sheetData>
    <row r="1" ht="36" customHeight="1" spans="1: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ht="36" spans="1:15">
      <c r="A2" s="8" t="s">
        <v>15</v>
      </c>
      <c r="B2" s="8" t="s">
        <v>16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8" t="s">
        <v>21</v>
      </c>
      <c r="I2" s="8" t="s">
        <v>22</v>
      </c>
      <c r="J2" s="9" t="s">
        <v>23</v>
      </c>
      <c r="K2" s="9" t="s">
        <v>24</v>
      </c>
      <c r="L2" s="9" t="s">
        <v>25</v>
      </c>
      <c r="M2" s="9" t="s">
        <v>26</v>
      </c>
      <c r="N2" s="9" t="s">
        <v>27</v>
      </c>
      <c r="O2" s="9" t="s">
        <v>28</v>
      </c>
    </row>
    <row r="3" ht="36" spans="1:15">
      <c r="A3" s="10" t="s">
        <v>29</v>
      </c>
      <c r="B3" s="10" t="s">
        <v>30</v>
      </c>
      <c r="C3" s="10" t="s">
        <v>31</v>
      </c>
      <c r="D3" s="10" t="s">
        <v>18</v>
      </c>
      <c r="E3" s="10" t="s">
        <v>32</v>
      </c>
      <c r="F3" s="10" t="s">
        <v>20</v>
      </c>
      <c r="G3" s="10" t="s">
        <v>21</v>
      </c>
      <c r="H3" s="10" t="s">
        <v>33</v>
      </c>
      <c r="I3" s="10" t="s">
        <v>34</v>
      </c>
      <c r="J3" s="11" t="s">
        <v>35</v>
      </c>
      <c r="K3" s="11" t="s">
        <v>36</v>
      </c>
      <c r="L3" s="11" t="s">
        <v>37</v>
      </c>
      <c r="M3" s="11" t="s">
        <v>38</v>
      </c>
      <c r="N3" s="11" t="s">
        <v>39</v>
      </c>
      <c r="O3" s="11" t="s">
        <v>40</v>
      </c>
    </row>
    <row r="4" ht="36" spans="1:15">
      <c r="A4" s="8" t="s">
        <v>41</v>
      </c>
      <c r="B4" s="8" t="s">
        <v>42</v>
      </c>
      <c r="C4" s="8" t="s">
        <v>43</v>
      </c>
      <c r="D4" s="8" t="s">
        <v>18</v>
      </c>
      <c r="E4" s="8" t="s">
        <v>32</v>
      </c>
      <c r="F4" s="8" t="s">
        <v>20</v>
      </c>
      <c r="G4" s="8" t="s">
        <v>21</v>
      </c>
      <c r="H4" s="8" t="s">
        <v>21</v>
      </c>
      <c r="I4" s="8" t="s">
        <v>22</v>
      </c>
      <c r="J4" s="9" t="s">
        <v>23</v>
      </c>
      <c r="K4" s="9" t="s">
        <v>24</v>
      </c>
      <c r="L4" s="9" t="s">
        <v>44</v>
      </c>
      <c r="M4" s="9" t="s">
        <v>45</v>
      </c>
      <c r="N4" s="9" t="s">
        <v>46</v>
      </c>
      <c r="O4" s="9" t="s">
        <v>47</v>
      </c>
    </row>
    <row r="5" ht="36" spans="1:15">
      <c r="A5" s="12" t="s">
        <v>48</v>
      </c>
      <c r="B5" s="12" t="s">
        <v>49</v>
      </c>
      <c r="C5" s="12" t="s">
        <v>50</v>
      </c>
      <c r="D5" s="12" t="s">
        <v>18</v>
      </c>
      <c r="E5" s="12" t="s">
        <v>19</v>
      </c>
      <c r="F5" s="12" t="s">
        <v>20</v>
      </c>
      <c r="G5" s="12" t="s">
        <v>21</v>
      </c>
      <c r="H5" s="12" t="s">
        <v>21</v>
      </c>
      <c r="I5" s="12" t="s">
        <v>22</v>
      </c>
      <c r="J5" s="13" t="s">
        <v>23</v>
      </c>
      <c r="K5" s="13" t="s">
        <v>24</v>
      </c>
      <c r="L5" s="13" t="s">
        <v>51</v>
      </c>
      <c r="M5" s="13" t="s">
        <v>52</v>
      </c>
      <c r="N5" s="13" t="s">
        <v>53</v>
      </c>
      <c r="O5" s="13" t="s">
        <v>54</v>
      </c>
    </row>
    <row r="6" ht="36" spans="1:15">
      <c r="A6" s="10" t="s">
        <v>55</v>
      </c>
      <c r="B6" s="10" t="s">
        <v>56</v>
      </c>
      <c r="C6" s="10" t="s">
        <v>57</v>
      </c>
      <c r="D6" s="10" t="s">
        <v>18</v>
      </c>
      <c r="E6" s="10" t="s">
        <v>58</v>
      </c>
      <c r="F6" s="10" t="s">
        <v>20</v>
      </c>
      <c r="G6" s="10" t="s">
        <v>33</v>
      </c>
      <c r="H6" s="10" t="s">
        <v>21</v>
      </c>
      <c r="I6" s="10" t="s">
        <v>34</v>
      </c>
      <c r="J6" s="11" t="s">
        <v>23</v>
      </c>
      <c r="K6" s="11" t="s">
        <v>24</v>
      </c>
      <c r="L6" s="11" t="s">
        <v>59</v>
      </c>
      <c r="M6" s="11" t="s">
        <v>60</v>
      </c>
      <c r="N6" s="11" t="s">
        <v>61</v>
      </c>
      <c r="O6" s="11" t="s">
        <v>62</v>
      </c>
    </row>
    <row r="7" ht="24" spans="1:15">
      <c r="A7" s="10" t="s">
        <v>63</v>
      </c>
      <c r="B7" s="10" t="s">
        <v>64</v>
      </c>
      <c r="C7" s="10" t="s">
        <v>65</v>
      </c>
      <c r="D7" s="10" t="s">
        <v>18</v>
      </c>
      <c r="E7" s="10" t="s">
        <v>58</v>
      </c>
      <c r="F7" s="10" t="s">
        <v>20</v>
      </c>
      <c r="G7" s="10" t="s">
        <v>33</v>
      </c>
      <c r="H7" s="10" t="s">
        <v>33</v>
      </c>
      <c r="I7" s="10" t="s">
        <v>22</v>
      </c>
      <c r="J7" s="11" t="s">
        <v>35</v>
      </c>
      <c r="K7" s="11" t="s">
        <v>36</v>
      </c>
      <c r="L7" s="11" t="s">
        <v>66</v>
      </c>
      <c r="M7" s="11" t="s">
        <v>67</v>
      </c>
      <c r="N7" s="11" t="s">
        <v>61</v>
      </c>
      <c r="O7" s="11" t="s">
        <v>68</v>
      </c>
    </row>
    <row r="8" ht="24" spans="1:15">
      <c r="A8" s="8" t="s">
        <v>69</v>
      </c>
      <c r="B8" s="8" t="s">
        <v>70</v>
      </c>
      <c r="C8" s="8" t="s">
        <v>71</v>
      </c>
      <c r="D8" s="8" t="s">
        <v>18</v>
      </c>
      <c r="E8" s="8" t="s">
        <v>58</v>
      </c>
      <c r="F8" s="8" t="s">
        <v>20</v>
      </c>
      <c r="G8" s="8" t="s">
        <v>33</v>
      </c>
      <c r="H8" s="8" t="s">
        <v>33</v>
      </c>
      <c r="I8" s="8" t="s">
        <v>22</v>
      </c>
      <c r="J8" s="9" t="s">
        <v>35</v>
      </c>
      <c r="K8" s="9" t="s">
        <v>36</v>
      </c>
      <c r="L8" s="9" t="s">
        <v>72</v>
      </c>
      <c r="M8" s="9" t="s">
        <v>67</v>
      </c>
      <c r="N8" s="9" t="s">
        <v>61</v>
      </c>
      <c r="O8" s="9" t="s">
        <v>73</v>
      </c>
    </row>
    <row r="9" ht="24" spans="1:15">
      <c r="A9" s="12" t="s">
        <v>74</v>
      </c>
      <c r="B9" s="12" t="s">
        <v>75</v>
      </c>
      <c r="C9" s="12" t="s">
        <v>76</v>
      </c>
      <c r="D9" s="12" t="s">
        <v>77</v>
      </c>
      <c r="E9" s="12" t="s">
        <v>78</v>
      </c>
      <c r="F9" s="12" t="s">
        <v>20</v>
      </c>
      <c r="G9" s="12" t="s">
        <v>21</v>
      </c>
      <c r="H9" s="12" t="s">
        <v>21</v>
      </c>
      <c r="I9" s="12" t="s">
        <v>22</v>
      </c>
      <c r="J9" s="13" t="s">
        <v>23</v>
      </c>
      <c r="K9" s="13" t="s">
        <v>79</v>
      </c>
      <c r="L9" s="13" t="s">
        <v>80</v>
      </c>
      <c r="M9" s="13" t="s">
        <v>81</v>
      </c>
      <c r="N9" s="13" t="s">
        <v>82</v>
      </c>
      <c r="O9" s="13" t="s">
        <v>83</v>
      </c>
    </row>
    <row r="10" ht="24" spans="1:15">
      <c r="A10" s="8" t="s">
        <v>84</v>
      </c>
      <c r="B10" s="8" t="s">
        <v>85</v>
      </c>
      <c r="C10" s="8" t="s">
        <v>86</v>
      </c>
      <c r="D10" s="8" t="s">
        <v>77</v>
      </c>
      <c r="E10" s="8" t="s">
        <v>78</v>
      </c>
      <c r="F10" s="8" t="s">
        <v>20</v>
      </c>
      <c r="G10" s="8" t="s">
        <v>21</v>
      </c>
      <c r="H10" s="8" t="s">
        <v>21</v>
      </c>
      <c r="I10" s="8" t="s">
        <v>22</v>
      </c>
      <c r="J10" s="9" t="s">
        <v>23</v>
      </c>
      <c r="K10" s="9" t="s">
        <v>87</v>
      </c>
      <c r="L10" s="9" t="s">
        <v>88</v>
      </c>
      <c r="M10" s="9" t="s">
        <v>89</v>
      </c>
      <c r="N10" s="9" t="s">
        <v>90</v>
      </c>
      <c r="O10" s="9" t="s">
        <v>91</v>
      </c>
    </row>
    <row r="11" ht="36" spans="1:15">
      <c r="A11" s="12" t="s">
        <v>92</v>
      </c>
      <c r="B11" s="12" t="s">
        <v>93</v>
      </c>
      <c r="C11" s="12" t="s">
        <v>71</v>
      </c>
      <c r="D11" s="12" t="s">
        <v>77</v>
      </c>
      <c r="E11" s="12" t="s">
        <v>94</v>
      </c>
      <c r="F11" s="12" t="s">
        <v>20</v>
      </c>
      <c r="G11" s="12" t="s">
        <v>21</v>
      </c>
      <c r="H11" s="12" t="s">
        <v>33</v>
      </c>
      <c r="I11" s="12" t="s">
        <v>34</v>
      </c>
      <c r="J11" s="13" t="s">
        <v>35</v>
      </c>
      <c r="K11" s="13" t="s">
        <v>95</v>
      </c>
      <c r="L11" s="13" t="s">
        <v>96</v>
      </c>
      <c r="M11" s="13" t="s">
        <v>97</v>
      </c>
      <c r="N11" s="13" t="s">
        <v>98</v>
      </c>
      <c r="O11" s="13" t="s">
        <v>99</v>
      </c>
    </row>
    <row r="12" ht="24" spans="1:15">
      <c r="A12" s="8" t="s">
        <v>100</v>
      </c>
      <c r="B12" s="8" t="s">
        <v>101</v>
      </c>
      <c r="C12" s="8" t="s">
        <v>102</v>
      </c>
      <c r="D12" s="8" t="s">
        <v>77</v>
      </c>
      <c r="E12" s="8" t="s">
        <v>103</v>
      </c>
      <c r="F12" s="8" t="s">
        <v>20</v>
      </c>
      <c r="G12" s="8" t="s">
        <v>21</v>
      </c>
      <c r="H12" s="8" t="s">
        <v>21</v>
      </c>
      <c r="I12" s="8" t="s">
        <v>22</v>
      </c>
      <c r="J12" s="9" t="s">
        <v>23</v>
      </c>
      <c r="K12" s="9" t="s">
        <v>104</v>
      </c>
      <c r="L12" s="9" t="s">
        <v>105</v>
      </c>
      <c r="M12" s="9" t="s">
        <v>106</v>
      </c>
      <c r="N12" s="9" t="s">
        <v>107</v>
      </c>
      <c r="O12" s="9" t="s">
        <v>108</v>
      </c>
    </row>
    <row r="13" ht="36" spans="1:15">
      <c r="A13" s="10" t="s">
        <v>109</v>
      </c>
      <c r="B13" s="10" t="s">
        <v>110</v>
      </c>
      <c r="C13" s="10" t="s">
        <v>76</v>
      </c>
      <c r="D13" s="10" t="s">
        <v>77</v>
      </c>
      <c r="E13" s="10" t="s">
        <v>58</v>
      </c>
      <c r="F13" s="10" t="s">
        <v>20</v>
      </c>
      <c r="G13" s="10" t="s">
        <v>33</v>
      </c>
      <c r="H13" s="10" t="s">
        <v>21</v>
      </c>
      <c r="I13" s="10" t="s">
        <v>34</v>
      </c>
      <c r="J13" s="11" t="s">
        <v>23</v>
      </c>
      <c r="K13" s="11" t="s">
        <v>87</v>
      </c>
      <c r="L13" s="11" t="s">
        <v>59</v>
      </c>
      <c r="M13" s="11" t="s">
        <v>60</v>
      </c>
      <c r="N13" s="11" t="s">
        <v>61</v>
      </c>
      <c r="O13" s="11" t="s">
        <v>111</v>
      </c>
    </row>
    <row r="14" ht="24" spans="1:15">
      <c r="A14" s="10" t="s">
        <v>112</v>
      </c>
      <c r="B14" s="10" t="s">
        <v>113</v>
      </c>
      <c r="C14" s="10" t="s">
        <v>31</v>
      </c>
      <c r="D14" s="10" t="s">
        <v>77</v>
      </c>
      <c r="E14" s="10" t="s">
        <v>58</v>
      </c>
      <c r="F14" s="10" t="s">
        <v>20</v>
      </c>
      <c r="G14" s="10" t="s">
        <v>33</v>
      </c>
      <c r="H14" s="10" t="s">
        <v>33</v>
      </c>
      <c r="I14" s="10" t="s">
        <v>22</v>
      </c>
      <c r="J14" s="11" t="s">
        <v>35</v>
      </c>
      <c r="K14" s="11" t="s">
        <v>95</v>
      </c>
      <c r="L14" s="11" t="s">
        <v>66</v>
      </c>
      <c r="M14" s="11" t="s">
        <v>114</v>
      </c>
      <c r="N14" s="11" t="s">
        <v>61</v>
      </c>
      <c r="O14" s="11" t="s">
        <v>115</v>
      </c>
    </row>
    <row r="15" ht="24" spans="1:15">
      <c r="A15" s="12" t="s">
        <v>116</v>
      </c>
      <c r="B15" s="12" t="s">
        <v>117</v>
      </c>
      <c r="C15" s="12" t="s">
        <v>71</v>
      </c>
      <c r="D15" s="12" t="s">
        <v>77</v>
      </c>
      <c r="E15" s="12" t="s">
        <v>58</v>
      </c>
      <c r="F15" s="12" t="s">
        <v>20</v>
      </c>
      <c r="G15" s="12" t="s">
        <v>33</v>
      </c>
      <c r="H15" s="12" t="s">
        <v>33</v>
      </c>
      <c r="I15" s="12" t="s">
        <v>22</v>
      </c>
      <c r="J15" s="13" t="s">
        <v>35</v>
      </c>
      <c r="K15" s="13" t="s">
        <v>95</v>
      </c>
      <c r="L15" s="13" t="s">
        <v>118</v>
      </c>
      <c r="M15" s="13" t="s">
        <v>114</v>
      </c>
      <c r="N15" s="13" t="s">
        <v>61</v>
      </c>
      <c r="O15" s="13" t="s">
        <v>119</v>
      </c>
    </row>
    <row r="16" ht="24" spans="1:15">
      <c r="A16" s="8" t="s">
        <v>120</v>
      </c>
      <c r="B16" s="8" t="s">
        <v>121</v>
      </c>
      <c r="C16" s="8" t="s">
        <v>122</v>
      </c>
      <c r="D16" s="8" t="s">
        <v>77</v>
      </c>
      <c r="E16" s="8" t="s">
        <v>58</v>
      </c>
      <c r="F16" s="8" t="s">
        <v>20</v>
      </c>
      <c r="G16" s="8" t="s">
        <v>33</v>
      </c>
      <c r="H16" s="8" t="s">
        <v>33</v>
      </c>
      <c r="I16" s="8" t="s">
        <v>22</v>
      </c>
      <c r="J16" s="9" t="s">
        <v>35</v>
      </c>
      <c r="K16" s="9" t="s">
        <v>95</v>
      </c>
      <c r="L16" s="9" t="s">
        <v>72</v>
      </c>
      <c r="M16" s="9" t="s">
        <v>114</v>
      </c>
      <c r="N16" s="9" t="s">
        <v>61</v>
      </c>
      <c r="O16" s="9" t="s">
        <v>123</v>
      </c>
    </row>
    <row r="17" ht="36" spans="1:15">
      <c r="A17" s="12" t="s">
        <v>124</v>
      </c>
      <c r="B17" s="12" t="s">
        <v>125</v>
      </c>
      <c r="C17" s="12" t="s">
        <v>102</v>
      </c>
      <c r="D17" s="12" t="s">
        <v>126</v>
      </c>
      <c r="E17" s="12" t="s">
        <v>127</v>
      </c>
      <c r="F17" s="12" t="s">
        <v>20</v>
      </c>
      <c r="G17" s="12" t="s">
        <v>21</v>
      </c>
      <c r="H17" s="12" t="s">
        <v>21</v>
      </c>
      <c r="I17" s="12" t="s">
        <v>22</v>
      </c>
      <c r="J17" s="13" t="s">
        <v>23</v>
      </c>
      <c r="K17" s="13" t="s">
        <v>128</v>
      </c>
      <c r="L17" s="13" t="s">
        <v>129</v>
      </c>
      <c r="M17" s="13" t="s">
        <v>130</v>
      </c>
      <c r="N17" s="13" t="s">
        <v>131</v>
      </c>
      <c r="O17" s="13" t="s">
        <v>132</v>
      </c>
    </row>
    <row r="18" ht="36" spans="1:15">
      <c r="A18" s="8" t="s">
        <v>133</v>
      </c>
      <c r="B18" s="8" t="s">
        <v>134</v>
      </c>
      <c r="C18" s="8" t="s">
        <v>135</v>
      </c>
      <c r="D18" s="8" t="s">
        <v>126</v>
      </c>
      <c r="E18" s="8" t="s">
        <v>136</v>
      </c>
      <c r="F18" s="8" t="s">
        <v>20</v>
      </c>
      <c r="G18" s="8" t="s">
        <v>21</v>
      </c>
      <c r="H18" s="8" t="s">
        <v>21</v>
      </c>
      <c r="I18" s="8" t="s">
        <v>22</v>
      </c>
      <c r="J18" s="9" t="s">
        <v>23</v>
      </c>
      <c r="K18" s="9" t="s">
        <v>137</v>
      </c>
      <c r="L18" s="9" t="s">
        <v>138</v>
      </c>
      <c r="M18" s="9" t="s">
        <v>139</v>
      </c>
      <c r="N18" s="9" t="s">
        <v>140</v>
      </c>
      <c r="O18" s="9" t="s">
        <v>141</v>
      </c>
    </row>
    <row r="19" ht="36" spans="1:15">
      <c r="A19" s="10" t="s">
        <v>142</v>
      </c>
      <c r="B19" s="10" t="s">
        <v>143</v>
      </c>
      <c r="C19" s="10" t="s">
        <v>50</v>
      </c>
      <c r="D19" s="10" t="s">
        <v>126</v>
      </c>
      <c r="E19" s="10" t="s">
        <v>136</v>
      </c>
      <c r="F19" s="10" t="s">
        <v>20</v>
      </c>
      <c r="G19" s="10" t="s">
        <v>21</v>
      </c>
      <c r="H19" s="10" t="s">
        <v>33</v>
      </c>
      <c r="I19" s="10" t="s">
        <v>34</v>
      </c>
      <c r="J19" s="11" t="s">
        <v>35</v>
      </c>
      <c r="K19" s="11" t="s">
        <v>144</v>
      </c>
      <c r="L19" s="11" t="s">
        <v>145</v>
      </c>
      <c r="M19" s="11" t="s">
        <v>146</v>
      </c>
      <c r="N19" s="11" t="s">
        <v>147</v>
      </c>
      <c r="O19" s="11" t="s">
        <v>148</v>
      </c>
    </row>
    <row r="20" ht="36" spans="1:15">
      <c r="A20" s="8" t="s">
        <v>149</v>
      </c>
      <c r="B20" s="8" t="s">
        <v>150</v>
      </c>
      <c r="C20" s="8" t="s">
        <v>151</v>
      </c>
      <c r="D20" s="8" t="s">
        <v>126</v>
      </c>
      <c r="E20" s="8" t="s">
        <v>136</v>
      </c>
      <c r="F20" s="8" t="s">
        <v>20</v>
      </c>
      <c r="G20" s="8" t="s">
        <v>21</v>
      </c>
      <c r="H20" s="8" t="s">
        <v>21</v>
      </c>
      <c r="I20" s="8" t="s">
        <v>22</v>
      </c>
      <c r="J20" s="9" t="s">
        <v>23</v>
      </c>
      <c r="K20" s="9" t="s">
        <v>152</v>
      </c>
      <c r="L20" s="9" t="s">
        <v>153</v>
      </c>
      <c r="M20" s="9" t="s">
        <v>154</v>
      </c>
      <c r="N20" s="9" t="s">
        <v>155</v>
      </c>
      <c r="O20" s="9" t="s">
        <v>156</v>
      </c>
    </row>
    <row r="21" ht="24" spans="1:15">
      <c r="A21" s="12" t="s">
        <v>157</v>
      </c>
      <c r="B21" s="12" t="s">
        <v>158</v>
      </c>
      <c r="C21" s="12" t="s">
        <v>65</v>
      </c>
      <c r="D21" s="12" t="s">
        <v>126</v>
      </c>
      <c r="E21" s="12" t="s">
        <v>58</v>
      </c>
      <c r="F21" s="12" t="s">
        <v>20</v>
      </c>
      <c r="G21" s="12" t="s">
        <v>33</v>
      </c>
      <c r="H21" s="12" t="s">
        <v>33</v>
      </c>
      <c r="I21" s="12" t="s">
        <v>22</v>
      </c>
      <c r="J21" s="13" t="s">
        <v>35</v>
      </c>
      <c r="K21" s="13" t="s">
        <v>144</v>
      </c>
      <c r="L21" s="13" t="s">
        <v>66</v>
      </c>
      <c r="M21" s="13" t="s">
        <v>159</v>
      </c>
      <c r="N21" s="13" t="s">
        <v>61</v>
      </c>
      <c r="O21" s="13" t="s">
        <v>160</v>
      </c>
    </row>
    <row r="22" ht="36" spans="1:15">
      <c r="A22" s="10" t="s">
        <v>161</v>
      </c>
      <c r="B22" s="10" t="s">
        <v>162</v>
      </c>
      <c r="C22" s="10" t="s">
        <v>163</v>
      </c>
      <c r="D22" s="10" t="s">
        <v>126</v>
      </c>
      <c r="E22" s="10" t="s">
        <v>58</v>
      </c>
      <c r="F22" s="10" t="s">
        <v>20</v>
      </c>
      <c r="G22" s="10" t="s">
        <v>33</v>
      </c>
      <c r="H22" s="10" t="s">
        <v>21</v>
      </c>
      <c r="I22" s="10" t="s">
        <v>34</v>
      </c>
      <c r="J22" s="11" t="s">
        <v>23</v>
      </c>
      <c r="K22" s="11" t="s">
        <v>164</v>
      </c>
      <c r="L22" s="11" t="s">
        <v>165</v>
      </c>
      <c r="M22" s="11" t="s">
        <v>60</v>
      </c>
      <c r="N22" s="11" t="s">
        <v>61</v>
      </c>
      <c r="O22" s="11" t="s">
        <v>166</v>
      </c>
    </row>
    <row r="23" ht="24" spans="1:15">
      <c r="A23" s="12" t="s">
        <v>167</v>
      </c>
      <c r="B23" s="12" t="s">
        <v>168</v>
      </c>
      <c r="C23" s="12" t="s">
        <v>169</v>
      </c>
      <c r="D23" s="12" t="s">
        <v>126</v>
      </c>
      <c r="E23" s="12" t="s">
        <v>58</v>
      </c>
      <c r="F23" s="12" t="s">
        <v>20</v>
      </c>
      <c r="G23" s="12" t="s">
        <v>33</v>
      </c>
      <c r="H23" s="12" t="s">
        <v>33</v>
      </c>
      <c r="I23" s="12" t="s">
        <v>22</v>
      </c>
      <c r="J23" s="13" t="s">
        <v>35</v>
      </c>
      <c r="K23" s="13" t="s">
        <v>144</v>
      </c>
      <c r="L23" s="13" t="s">
        <v>170</v>
      </c>
      <c r="M23" s="13" t="s">
        <v>159</v>
      </c>
      <c r="N23" s="13" t="s">
        <v>61</v>
      </c>
      <c r="O23" s="13" t="s">
        <v>171</v>
      </c>
    </row>
    <row r="24" ht="24" spans="1:15">
      <c r="A24" s="8" t="s">
        <v>172</v>
      </c>
      <c r="B24" s="8" t="s">
        <v>173</v>
      </c>
      <c r="C24" s="8" t="s">
        <v>122</v>
      </c>
      <c r="D24" s="8" t="s">
        <v>126</v>
      </c>
      <c r="E24" s="8" t="s">
        <v>58</v>
      </c>
      <c r="F24" s="8" t="s">
        <v>20</v>
      </c>
      <c r="G24" s="8" t="s">
        <v>33</v>
      </c>
      <c r="H24" s="8" t="s">
        <v>33</v>
      </c>
      <c r="I24" s="8" t="s">
        <v>22</v>
      </c>
      <c r="J24" s="9" t="s">
        <v>35</v>
      </c>
      <c r="K24" s="9" t="s">
        <v>144</v>
      </c>
      <c r="L24" s="9" t="s">
        <v>72</v>
      </c>
      <c r="M24" s="9" t="s">
        <v>159</v>
      </c>
      <c r="N24" s="9" t="s">
        <v>61</v>
      </c>
      <c r="O24" s="9" t="s">
        <v>174</v>
      </c>
    </row>
    <row r="25" ht="36" spans="1:15">
      <c r="A25" s="10" t="s">
        <v>175</v>
      </c>
      <c r="B25" s="10" t="s">
        <v>176</v>
      </c>
      <c r="C25" s="10" t="s">
        <v>135</v>
      </c>
      <c r="D25" s="10" t="s">
        <v>18</v>
      </c>
      <c r="E25" s="10" t="s">
        <v>19</v>
      </c>
      <c r="F25" s="10" t="s">
        <v>177</v>
      </c>
      <c r="G25" s="10" t="s">
        <v>21</v>
      </c>
      <c r="H25" s="10" t="s">
        <v>21</v>
      </c>
      <c r="I25" s="10" t="s">
        <v>22</v>
      </c>
      <c r="J25" s="11" t="s">
        <v>23</v>
      </c>
      <c r="K25" s="11" t="s">
        <v>178</v>
      </c>
      <c r="L25" s="11" t="s">
        <v>179</v>
      </c>
      <c r="M25" s="11" t="s">
        <v>180</v>
      </c>
      <c r="N25" s="11" t="s">
        <v>181</v>
      </c>
      <c r="O25" s="11" t="s">
        <v>182</v>
      </c>
    </row>
    <row r="26" ht="36" spans="1:15">
      <c r="A26" s="10" t="s">
        <v>183</v>
      </c>
      <c r="B26" s="10" t="s">
        <v>184</v>
      </c>
      <c r="C26" s="10" t="s">
        <v>102</v>
      </c>
      <c r="D26" s="10" t="s">
        <v>18</v>
      </c>
      <c r="E26" s="10" t="s">
        <v>185</v>
      </c>
      <c r="F26" s="10" t="s">
        <v>177</v>
      </c>
      <c r="G26" s="10" t="s">
        <v>21</v>
      </c>
      <c r="H26" s="10" t="s">
        <v>33</v>
      </c>
      <c r="I26" s="10" t="s">
        <v>34</v>
      </c>
      <c r="J26" s="11" t="s">
        <v>35</v>
      </c>
      <c r="K26" s="11" t="s">
        <v>36</v>
      </c>
      <c r="L26" s="11" t="s">
        <v>186</v>
      </c>
      <c r="M26" s="11" t="s">
        <v>187</v>
      </c>
      <c r="N26" s="11" t="s">
        <v>188</v>
      </c>
      <c r="O26" s="11" t="s">
        <v>189</v>
      </c>
    </row>
    <row r="27" ht="36" spans="1:15">
      <c r="A27" s="12" t="s">
        <v>190</v>
      </c>
      <c r="B27" s="12" t="s">
        <v>191</v>
      </c>
      <c r="C27" s="12" t="s">
        <v>163</v>
      </c>
      <c r="D27" s="12" t="s">
        <v>18</v>
      </c>
      <c r="E27" s="12" t="s">
        <v>19</v>
      </c>
      <c r="F27" s="12" t="s">
        <v>177</v>
      </c>
      <c r="G27" s="12" t="s">
        <v>21</v>
      </c>
      <c r="H27" s="12" t="s">
        <v>21</v>
      </c>
      <c r="I27" s="12" t="s">
        <v>22</v>
      </c>
      <c r="J27" s="13" t="s">
        <v>23</v>
      </c>
      <c r="K27" s="13" t="s">
        <v>24</v>
      </c>
      <c r="L27" s="13" t="s">
        <v>192</v>
      </c>
      <c r="M27" s="13" t="s">
        <v>193</v>
      </c>
      <c r="N27" s="13" t="s">
        <v>194</v>
      </c>
      <c r="O27" s="13" t="s">
        <v>195</v>
      </c>
    </row>
    <row r="28" ht="24" spans="1:15">
      <c r="A28" s="8" t="s">
        <v>196</v>
      </c>
      <c r="B28" s="8" t="s">
        <v>197</v>
      </c>
      <c r="C28" s="8" t="s">
        <v>198</v>
      </c>
      <c r="D28" s="8" t="s">
        <v>18</v>
      </c>
      <c r="E28" s="8" t="s">
        <v>185</v>
      </c>
      <c r="F28" s="8" t="s">
        <v>177</v>
      </c>
      <c r="G28" s="8" t="s">
        <v>21</v>
      </c>
      <c r="H28" s="8" t="s">
        <v>21</v>
      </c>
      <c r="I28" s="8" t="s">
        <v>22</v>
      </c>
      <c r="J28" s="9" t="s">
        <v>23</v>
      </c>
      <c r="K28" s="9" t="s">
        <v>199</v>
      </c>
      <c r="L28" s="9" t="s">
        <v>200</v>
      </c>
      <c r="M28" s="9" t="s">
        <v>201</v>
      </c>
      <c r="N28" s="9" t="s">
        <v>202</v>
      </c>
      <c r="O28" s="9" t="s">
        <v>203</v>
      </c>
    </row>
    <row r="29" ht="24" spans="1:15">
      <c r="A29" s="12" t="s">
        <v>204</v>
      </c>
      <c r="B29" s="12" t="s">
        <v>205</v>
      </c>
      <c r="C29" s="12" t="s">
        <v>76</v>
      </c>
      <c r="D29" s="12" t="s">
        <v>18</v>
      </c>
      <c r="E29" s="12" t="s">
        <v>58</v>
      </c>
      <c r="F29" s="12" t="s">
        <v>177</v>
      </c>
      <c r="G29" s="12" t="s">
        <v>33</v>
      </c>
      <c r="H29" s="12" t="s">
        <v>33</v>
      </c>
      <c r="I29" s="12" t="s">
        <v>22</v>
      </c>
      <c r="J29" s="13" t="s">
        <v>35</v>
      </c>
      <c r="K29" s="13" t="s">
        <v>36</v>
      </c>
      <c r="L29" s="13" t="s">
        <v>206</v>
      </c>
      <c r="M29" s="13" t="s">
        <v>67</v>
      </c>
      <c r="N29" s="13" t="s">
        <v>61</v>
      </c>
      <c r="O29" s="13" t="s">
        <v>207</v>
      </c>
    </row>
    <row r="30" ht="24" spans="1:15">
      <c r="A30" s="8" t="s">
        <v>208</v>
      </c>
      <c r="B30" s="8" t="s">
        <v>209</v>
      </c>
      <c r="C30" s="8" t="s">
        <v>31</v>
      </c>
      <c r="D30" s="8" t="s">
        <v>18</v>
      </c>
      <c r="E30" s="8" t="s">
        <v>58</v>
      </c>
      <c r="F30" s="8" t="s">
        <v>177</v>
      </c>
      <c r="G30" s="8" t="s">
        <v>33</v>
      </c>
      <c r="H30" s="8" t="s">
        <v>33</v>
      </c>
      <c r="I30" s="8" t="s">
        <v>22</v>
      </c>
      <c r="J30" s="9" t="s">
        <v>35</v>
      </c>
      <c r="K30" s="9" t="s">
        <v>36</v>
      </c>
      <c r="L30" s="9" t="s">
        <v>206</v>
      </c>
      <c r="M30" s="9" t="s">
        <v>67</v>
      </c>
      <c r="N30" s="9" t="s">
        <v>61</v>
      </c>
      <c r="O30" s="9" t="s">
        <v>210</v>
      </c>
    </row>
    <row r="31" ht="24" spans="1:15">
      <c r="A31" s="12" t="s">
        <v>211</v>
      </c>
      <c r="B31" s="12" t="s">
        <v>212</v>
      </c>
      <c r="C31" s="12" t="s">
        <v>50</v>
      </c>
      <c r="D31" s="12" t="s">
        <v>18</v>
      </c>
      <c r="E31" s="12" t="s">
        <v>58</v>
      </c>
      <c r="F31" s="12" t="s">
        <v>177</v>
      </c>
      <c r="G31" s="12" t="s">
        <v>33</v>
      </c>
      <c r="H31" s="12" t="s">
        <v>33</v>
      </c>
      <c r="I31" s="12" t="s">
        <v>22</v>
      </c>
      <c r="J31" s="13" t="s">
        <v>35</v>
      </c>
      <c r="K31" s="13" t="s">
        <v>36</v>
      </c>
      <c r="L31" s="13" t="s">
        <v>118</v>
      </c>
      <c r="M31" s="13" t="s">
        <v>67</v>
      </c>
      <c r="N31" s="13" t="s">
        <v>61</v>
      </c>
      <c r="O31" s="13" t="s">
        <v>213</v>
      </c>
    </row>
    <row r="32" ht="36" spans="1:15">
      <c r="A32" s="10" t="s">
        <v>214</v>
      </c>
      <c r="B32" s="10" t="s">
        <v>215</v>
      </c>
      <c r="C32" s="10" t="s">
        <v>151</v>
      </c>
      <c r="D32" s="10" t="s">
        <v>18</v>
      </c>
      <c r="E32" s="10" t="s">
        <v>58</v>
      </c>
      <c r="F32" s="10" t="s">
        <v>177</v>
      </c>
      <c r="G32" s="10" t="s">
        <v>33</v>
      </c>
      <c r="H32" s="10" t="s">
        <v>21</v>
      </c>
      <c r="I32" s="10" t="s">
        <v>34</v>
      </c>
      <c r="J32" s="11" t="s">
        <v>23</v>
      </c>
      <c r="K32" s="11" t="s">
        <v>24</v>
      </c>
      <c r="L32" s="11" t="s">
        <v>165</v>
      </c>
      <c r="M32" s="11" t="s">
        <v>60</v>
      </c>
      <c r="N32" s="11" t="s">
        <v>61</v>
      </c>
      <c r="O32" s="11" t="s">
        <v>216</v>
      </c>
    </row>
    <row r="33" ht="24" spans="1:15">
      <c r="A33" s="12" t="s">
        <v>217</v>
      </c>
      <c r="B33" s="12" t="s">
        <v>218</v>
      </c>
      <c r="C33" s="12" t="s">
        <v>31</v>
      </c>
      <c r="D33" s="12" t="s">
        <v>77</v>
      </c>
      <c r="E33" s="12" t="s">
        <v>103</v>
      </c>
      <c r="F33" s="12" t="s">
        <v>177</v>
      </c>
      <c r="G33" s="12" t="s">
        <v>21</v>
      </c>
      <c r="H33" s="12" t="s">
        <v>21</v>
      </c>
      <c r="I33" s="12" t="s">
        <v>22</v>
      </c>
      <c r="J33" s="13" t="s">
        <v>23</v>
      </c>
      <c r="K33" s="13" t="s">
        <v>87</v>
      </c>
      <c r="L33" s="13" t="s">
        <v>219</v>
      </c>
      <c r="M33" s="13" t="s">
        <v>220</v>
      </c>
      <c r="N33" s="13" t="s">
        <v>221</v>
      </c>
      <c r="O33" s="13" t="s">
        <v>222</v>
      </c>
    </row>
    <row r="34" ht="24" spans="1:15">
      <c r="A34" s="8" t="s">
        <v>223</v>
      </c>
      <c r="B34" s="8" t="s">
        <v>224</v>
      </c>
      <c r="C34" s="8" t="s">
        <v>151</v>
      </c>
      <c r="D34" s="8" t="s">
        <v>77</v>
      </c>
      <c r="E34" s="8" t="s">
        <v>103</v>
      </c>
      <c r="F34" s="8" t="s">
        <v>177</v>
      </c>
      <c r="G34" s="8" t="s">
        <v>21</v>
      </c>
      <c r="H34" s="8" t="s">
        <v>21</v>
      </c>
      <c r="I34" s="8" t="s">
        <v>22</v>
      </c>
      <c r="J34" s="9" t="s">
        <v>23</v>
      </c>
      <c r="K34" s="9" t="s">
        <v>104</v>
      </c>
      <c r="L34" s="9" t="s">
        <v>225</v>
      </c>
      <c r="M34" s="9" t="s">
        <v>226</v>
      </c>
      <c r="N34" s="9" t="s">
        <v>227</v>
      </c>
      <c r="O34" s="9" t="s">
        <v>228</v>
      </c>
    </row>
    <row r="35" ht="36" spans="1:15">
      <c r="A35" s="12" t="s">
        <v>229</v>
      </c>
      <c r="B35" s="12" t="s">
        <v>230</v>
      </c>
      <c r="C35" s="12" t="s">
        <v>231</v>
      </c>
      <c r="D35" s="12" t="s">
        <v>77</v>
      </c>
      <c r="E35" s="12" t="s">
        <v>232</v>
      </c>
      <c r="F35" s="12" t="s">
        <v>177</v>
      </c>
      <c r="G35" s="12" t="s">
        <v>21</v>
      </c>
      <c r="H35" s="12" t="s">
        <v>33</v>
      </c>
      <c r="I35" s="12" t="s">
        <v>34</v>
      </c>
      <c r="J35" s="13" t="s">
        <v>35</v>
      </c>
      <c r="K35" s="13" t="s">
        <v>95</v>
      </c>
      <c r="L35" s="13" t="s">
        <v>233</v>
      </c>
      <c r="M35" s="13" t="s">
        <v>234</v>
      </c>
      <c r="N35" s="13" t="s">
        <v>235</v>
      </c>
      <c r="O35" s="13" t="s">
        <v>236</v>
      </c>
    </row>
    <row r="36" ht="24" spans="1:15">
      <c r="A36" s="8" t="s">
        <v>237</v>
      </c>
      <c r="B36" s="8" t="s">
        <v>238</v>
      </c>
      <c r="C36" s="8" t="s">
        <v>17</v>
      </c>
      <c r="D36" s="8" t="s">
        <v>77</v>
      </c>
      <c r="E36" s="8" t="s">
        <v>232</v>
      </c>
      <c r="F36" s="8" t="s">
        <v>177</v>
      </c>
      <c r="G36" s="8" t="s">
        <v>21</v>
      </c>
      <c r="H36" s="8" t="s">
        <v>21</v>
      </c>
      <c r="I36" s="8" t="s">
        <v>22</v>
      </c>
      <c r="J36" s="9" t="s">
        <v>23</v>
      </c>
      <c r="K36" s="9" t="s">
        <v>87</v>
      </c>
      <c r="L36" s="9" t="s">
        <v>239</v>
      </c>
      <c r="M36" s="9" t="s">
        <v>240</v>
      </c>
      <c r="N36" s="9" t="s">
        <v>241</v>
      </c>
      <c r="O36" s="9" t="s">
        <v>242</v>
      </c>
    </row>
    <row r="37" ht="36" spans="1:15">
      <c r="A37" s="10" t="s">
        <v>243</v>
      </c>
      <c r="B37" s="10" t="s">
        <v>244</v>
      </c>
      <c r="C37" s="10" t="s">
        <v>231</v>
      </c>
      <c r="D37" s="10" t="s">
        <v>77</v>
      </c>
      <c r="E37" s="10" t="s">
        <v>58</v>
      </c>
      <c r="F37" s="10" t="s">
        <v>177</v>
      </c>
      <c r="G37" s="10" t="s">
        <v>33</v>
      </c>
      <c r="H37" s="10" t="s">
        <v>21</v>
      </c>
      <c r="I37" s="10" t="s">
        <v>34</v>
      </c>
      <c r="J37" s="11" t="s">
        <v>23</v>
      </c>
      <c r="K37" s="11" t="s">
        <v>87</v>
      </c>
      <c r="L37" s="11" t="s">
        <v>245</v>
      </c>
      <c r="M37" s="11" t="s">
        <v>60</v>
      </c>
      <c r="N37" s="11" t="s">
        <v>61</v>
      </c>
      <c r="O37" s="11" t="s">
        <v>246</v>
      </c>
    </row>
    <row r="38" ht="24" spans="1:15">
      <c r="A38" s="8" t="s">
        <v>247</v>
      </c>
      <c r="B38" s="8" t="s">
        <v>248</v>
      </c>
      <c r="C38" s="8" t="s">
        <v>17</v>
      </c>
      <c r="D38" s="8" t="s">
        <v>77</v>
      </c>
      <c r="E38" s="8" t="s">
        <v>58</v>
      </c>
      <c r="F38" s="8" t="s">
        <v>177</v>
      </c>
      <c r="G38" s="8" t="s">
        <v>33</v>
      </c>
      <c r="H38" s="8" t="s">
        <v>33</v>
      </c>
      <c r="I38" s="8" t="s">
        <v>22</v>
      </c>
      <c r="J38" s="9" t="s">
        <v>35</v>
      </c>
      <c r="K38" s="9" t="s">
        <v>95</v>
      </c>
      <c r="L38" s="9" t="s">
        <v>206</v>
      </c>
      <c r="M38" s="9" t="s">
        <v>114</v>
      </c>
      <c r="N38" s="9" t="s">
        <v>61</v>
      </c>
      <c r="O38" s="9" t="s">
        <v>249</v>
      </c>
    </row>
    <row r="39" ht="24" spans="1:15">
      <c r="A39" s="12" t="s">
        <v>250</v>
      </c>
      <c r="B39" s="12" t="s">
        <v>251</v>
      </c>
      <c r="C39" s="12" t="s">
        <v>151</v>
      </c>
      <c r="D39" s="12" t="s">
        <v>77</v>
      </c>
      <c r="E39" s="12" t="s">
        <v>58</v>
      </c>
      <c r="F39" s="12" t="s">
        <v>177</v>
      </c>
      <c r="G39" s="12" t="s">
        <v>33</v>
      </c>
      <c r="H39" s="12" t="s">
        <v>33</v>
      </c>
      <c r="I39" s="12" t="s">
        <v>22</v>
      </c>
      <c r="J39" s="13" t="s">
        <v>35</v>
      </c>
      <c r="K39" s="13" t="s">
        <v>95</v>
      </c>
      <c r="L39" s="13" t="s">
        <v>118</v>
      </c>
      <c r="M39" s="13" t="s">
        <v>114</v>
      </c>
      <c r="N39" s="13" t="s">
        <v>61</v>
      </c>
      <c r="O39" s="13" t="s">
        <v>252</v>
      </c>
    </row>
    <row r="40" ht="24" spans="1:15">
      <c r="A40" s="8" t="s">
        <v>253</v>
      </c>
      <c r="B40" s="8" t="s">
        <v>254</v>
      </c>
      <c r="C40" s="8" t="s">
        <v>198</v>
      </c>
      <c r="D40" s="8" t="s">
        <v>77</v>
      </c>
      <c r="E40" s="8" t="s">
        <v>58</v>
      </c>
      <c r="F40" s="8" t="s">
        <v>177</v>
      </c>
      <c r="G40" s="8" t="s">
        <v>33</v>
      </c>
      <c r="H40" s="8" t="s">
        <v>33</v>
      </c>
      <c r="I40" s="8" t="s">
        <v>22</v>
      </c>
      <c r="J40" s="9" t="s">
        <v>35</v>
      </c>
      <c r="K40" s="9" t="s">
        <v>95</v>
      </c>
      <c r="L40" s="9" t="s">
        <v>255</v>
      </c>
      <c r="M40" s="9" t="s">
        <v>114</v>
      </c>
      <c r="N40" s="9" t="s">
        <v>61</v>
      </c>
      <c r="O40" s="9" t="s">
        <v>256</v>
      </c>
    </row>
    <row r="41" ht="36" spans="1:15">
      <c r="A41" s="12" t="s">
        <v>257</v>
      </c>
      <c r="B41" s="12" t="s">
        <v>258</v>
      </c>
      <c r="C41" s="12" t="s">
        <v>259</v>
      </c>
      <c r="D41" s="12" t="s">
        <v>126</v>
      </c>
      <c r="E41" s="12" t="s">
        <v>127</v>
      </c>
      <c r="F41" s="12" t="s">
        <v>177</v>
      </c>
      <c r="G41" s="12" t="s">
        <v>21</v>
      </c>
      <c r="H41" s="12" t="s">
        <v>21</v>
      </c>
      <c r="I41" s="12" t="s">
        <v>22</v>
      </c>
      <c r="J41" s="13" t="s">
        <v>23</v>
      </c>
      <c r="K41" s="13" t="s">
        <v>260</v>
      </c>
      <c r="L41" s="13" t="s">
        <v>261</v>
      </c>
      <c r="M41" s="13" t="s">
        <v>262</v>
      </c>
      <c r="N41" s="13" t="s">
        <v>263</v>
      </c>
      <c r="O41" s="13" t="s">
        <v>264</v>
      </c>
    </row>
    <row r="42" ht="36" spans="1:15">
      <c r="A42" s="8" t="s">
        <v>265</v>
      </c>
      <c r="B42" s="8" t="s">
        <v>266</v>
      </c>
      <c r="C42" s="8" t="s">
        <v>267</v>
      </c>
      <c r="D42" s="8" t="s">
        <v>126</v>
      </c>
      <c r="E42" s="8" t="s">
        <v>232</v>
      </c>
      <c r="F42" s="8" t="s">
        <v>177</v>
      </c>
      <c r="G42" s="8" t="s">
        <v>21</v>
      </c>
      <c r="H42" s="8" t="s">
        <v>21</v>
      </c>
      <c r="I42" s="8" t="s">
        <v>22</v>
      </c>
      <c r="J42" s="9" t="s">
        <v>23</v>
      </c>
      <c r="K42" s="9" t="s">
        <v>268</v>
      </c>
      <c r="L42" s="9" t="s">
        <v>269</v>
      </c>
      <c r="M42" s="9" t="s">
        <v>270</v>
      </c>
      <c r="N42" s="9" t="s">
        <v>271</v>
      </c>
      <c r="O42" s="9" t="s">
        <v>272</v>
      </c>
    </row>
    <row r="43" ht="36" spans="1:15">
      <c r="A43" s="10" t="s">
        <v>273</v>
      </c>
      <c r="B43" s="10" t="s">
        <v>274</v>
      </c>
      <c r="C43" s="10" t="s">
        <v>198</v>
      </c>
      <c r="D43" s="10" t="s">
        <v>126</v>
      </c>
      <c r="E43" s="10" t="s">
        <v>127</v>
      </c>
      <c r="F43" s="10" t="s">
        <v>177</v>
      </c>
      <c r="G43" s="10" t="s">
        <v>21</v>
      </c>
      <c r="H43" s="10" t="s">
        <v>33</v>
      </c>
      <c r="I43" s="10" t="s">
        <v>34</v>
      </c>
      <c r="J43" s="11" t="s">
        <v>35</v>
      </c>
      <c r="K43" s="11" t="s">
        <v>144</v>
      </c>
      <c r="L43" s="11" t="s">
        <v>275</v>
      </c>
      <c r="M43" s="11" t="s">
        <v>276</v>
      </c>
      <c r="N43" s="11" t="s">
        <v>277</v>
      </c>
      <c r="O43" s="11" t="s">
        <v>278</v>
      </c>
    </row>
    <row r="44" ht="36" spans="1:15">
      <c r="A44" s="8" t="s">
        <v>279</v>
      </c>
      <c r="B44" s="8" t="s">
        <v>280</v>
      </c>
      <c r="C44" s="8" t="s">
        <v>267</v>
      </c>
      <c r="D44" s="8" t="s">
        <v>126</v>
      </c>
      <c r="E44" s="8" t="s">
        <v>281</v>
      </c>
      <c r="F44" s="8" t="s">
        <v>177</v>
      </c>
      <c r="G44" s="8" t="s">
        <v>21</v>
      </c>
      <c r="H44" s="8" t="s">
        <v>21</v>
      </c>
      <c r="I44" s="8" t="s">
        <v>22</v>
      </c>
      <c r="J44" s="9" t="s">
        <v>23</v>
      </c>
      <c r="K44" s="9" t="s">
        <v>164</v>
      </c>
      <c r="L44" s="9" t="s">
        <v>282</v>
      </c>
      <c r="M44" s="9" t="s">
        <v>283</v>
      </c>
      <c r="N44" s="9" t="s">
        <v>284</v>
      </c>
      <c r="O44" s="9" t="s">
        <v>285</v>
      </c>
    </row>
    <row r="45" ht="24" spans="1:15">
      <c r="A45" s="12" t="s">
        <v>286</v>
      </c>
      <c r="B45" s="12" t="s">
        <v>287</v>
      </c>
      <c r="C45" s="12" t="s">
        <v>17</v>
      </c>
      <c r="D45" s="12" t="s">
        <v>126</v>
      </c>
      <c r="E45" s="12" t="s">
        <v>58</v>
      </c>
      <c r="F45" s="12" t="s">
        <v>177</v>
      </c>
      <c r="G45" s="12" t="s">
        <v>33</v>
      </c>
      <c r="H45" s="12" t="s">
        <v>33</v>
      </c>
      <c r="I45" s="12" t="s">
        <v>22</v>
      </c>
      <c r="J45" s="13" t="s">
        <v>35</v>
      </c>
      <c r="K45" s="13" t="s">
        <v>144</v>
      </c>
      <c r="L45" s="13" t="s">
        <v>72</v>
      </c>
      <c r="M45" s="13" t="s">
        <v>159</v>
      </c>
      <c r="N45" s="13" t="s">
        <v>61</v>
      </c>
      <c r="O45" s="13" t="s">
        <v>288</v>
      </c>
    </row>
    <row r="46" ht="36" spans="1:15">
      <c r="A46" s="10" t="s">
        <v>289</v>
      </c>
      <c r="B46" s="10" t="s">
        <v>290</v>
      </c>
      <c r="C46" s="10" t="s">
        <v>71</v>
      </c>
      <c r="D46" s="10" t="s">
        <v>126</v>
      </c>
      <c r="E46" s="10" t="s">
        <v>58</v>
      </c>
      <c r="F46" s="10" t="s">
        <v>177</v>
      </c>
      <c r="G46" s="10" t="s">
        <v>33</v>
      </c>
      <c r="H46" s="10" t="s">
        <v>21</v>
      </c>
      <c r="I46" s="10" t="s">
        <v>34</v>
      </c>
      <c r="J46" s="11" t="s">
        <v>23</v>
      </c>
      <c r="K46" s="11" t="s">
        <v>164</v>
      </c>
      <c r="L46" s="11" t="s">
        <v>291</v>
      </c>
      <c r="M46" s="11" t="s">
        <v>60</v>
      </c>
      <c r="N46" s="11" t="s">
        <v>61</v>
      </c>
      <c r="O46" s="11" t="s">
        <v>292</v>
      </c>
    </row>
    <row r="47" ht="24" spans="1:15">
      <c r="A47" s="12" t="s">
        <v>293</v>
      </c>
      <c r="B47" s="12" t="s">
        <v>294</v>
      </c>
      <c r="C47" s="12" t="s">
        <v>295</v>
      </c>
      <c r="D47" s="12" t="s">
        <v>126</v>
      </c>
      <c r="E47" s="12" t="s">
        <v>58</v>
      </c>
      <c r="F47" s="12" t="s">
        <v>177</v>
      </c>
      <c r="G47" s="12" t="s">
        <v>33</v>
      </c>
      <c r="H47" s="12" t="s">
        <v>33</v>
      </c>
      <c r="I47" s="12" t="s">
        <v>22</v>
      </c>
      <c r="J47" s="13" t="s">
        <v>35</v>
      </c>
      <c r="K47" s="13" t="s">
        <v>144</v>
      </c>
      <c r="L47" s="13" t="s">
        <v>170</v>
      </c>
      <c r="M47" s="13" t="s">
        <v>159</v>
      </c>
      <c r="N47" s="13" t="s">
        <v>61</v>
      </c>
      <c r="O47" s="13" t="s">
        <v>296</v>
      </c>
    </row>
    <row r="48" ht="24" spans="1:15">
      <c r="A48" s="10" t="s">
        <v>297</v>
      </c>
      <c r="B48" s="10" t="s">
        <v>298</v>
      </c>
      <c r="C48" s="10" t="s">
        <v>151</v>
      </c>
      <c r="D48" s="10" t="s">
        <v>126</v>
      </c>
      <c r="E48" s="10" t="s">
        <v>58</v>
      </c>
      <c r="F48" s="10" t="s">
        <v>177</v>
      </c>
      <c r="G48" s="10" t="s">
        <v>33</v>
      </c>
      <c r="H48" s="10" t="s">
        <v>33</v>
      </c>
      <c r="I48" s="10" t="s">
        <v>22</v>
      </c>
      <c r="J48" s="11" t="s">
        <v>35</v>
      </c>
      <c r="K48" s="11" t="s">
        <v>144</v>
      </c>
      <c r="L48" s="11" t="s">
        <v>72</v>
      </c>
      <c r="M48" s="11" t="s">
        <v>159</v>
      </c>
      <c r="N48" s="11" t="s">
        <v>61</v>
      </c>
      <c r="O48" s="11" t="s">
        <v>299</v>
      </c>
    </row>
    <row r="49" ht="24" spans="1:15">
      <c r="A49" s="8" t="s">
        <v>300</v>
      </c>
      <c r="B49" s="8" t="s">
        <v>301</v>
      </c>
      <c r="C49" s="8" t="s">
        <v>231</v>
      </c>
      <c r="D49" s="8" t="s">
        <v>18</v>
      </c>
      <c r="E49" s="8" t="s">
        <v>58</v>
      </c>
      <c r="F49" s="8" t="s">
        <v>20</v>
      </c>
      <c r="G49" s="8" t="s">
        <v>33</v>
      </c>
      <c r="H49" s="8" t="s">
        <v>33</v>
      </c>
      <c r="I49" s="8" t="s">
        <v>22</v>
      </c>
      <c r="J49" s="9" t="s">
        <v>35</v>
      </c>
      <c r="K49" s="9" t="s">
        <v>36</v>
      </c>
      <c r="L49" s="9" t="s">
        <v>170</v>
      </c>
      <c r="M49" s="9" t="s">
        <v>67</v>
      </c>
      <c r="N49" s="9" t="s">
        <v>61</v>
      </c>
      <c r="O49" s="9" t="s">
        <v>302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7"/>
  <sheetViews>
    <sheetView workbookViewId="0">
      <selection activeCell="A1" sqref="A1"/>
    </sheetView>
  </sheetViews>
  <sheetFormatPr defaultColWidth="9" defaultRowHeight="14.5"/>
  <cols>
    <col min="1" max="1" width="110" customWidth="1"/>
  </cols>
  <sheetData>
    <row r="1" ht="28" customHeight="1" spans="1:1">
      <c r="A1" s="3" t="s">
        <v>303</v>
      </c>
    </row>
    <row r="2" ht="10" customHeight="1" spans="1:1">
      <c r="A2" s="4" t="s">
        <v>304</v>
      </c>
    </row>
    <row r="3" ht="22" customHeight="1" spans="1:1">
      <c r="A3" s="5" t="s">
        <v>305</v>
      </c>
    </row>
    <row r="4" ht="42" customHeight="1" spans="1:1">
      <c r="A4" s="4" t="s">
        <v>306</v>
      </c>
    </row>
    <row r="5" ht="30" customHeight="1" spans="1:1">
      <c r="A5" s="4" t="s">
        <v>307</v>
      </c>
    </row>
    <row r="6" ht="10" customHeight="1" spans="1:1">
      <c r="A6" s="4" t="s">
        <v>304</v>
      </c>
    </row>
    <row r="7" ht="22" customHeight="1" spans="1:1">
      <c r="A7" s="5" t="s">
        <v>308</v>
      </c>
    </row>
    <row r="8" ht="22" customHeight="1" spans="1:1">
      <c r="A8" s="4" t="s">
        <v>309</v>
      </c>
    </row>
    <row r="9" ht="30" customHeight="1" spans="1:1">
      <c r="A9" s="4" t="s">
        <v>310</v>
      </c>
    </row>
    <row r="10" ht="22" customHeight="1" spans="1:1">
      <c r="A10" s="4" t="s">
        <v>311</v>
      </c>
    </row>
    <row r="11" ht="10" customHeight="1" spans="1:1">
      <c r="A11" s="4" t="s">
        <v>304</v>
      </c>
    </row>
    <row r="12" ht="22" customHeight="1" spans="1:1">
      <c r="A12" s="5" t="s">
        <v>312</v>
      </c>
    </row>
    <row r="13" ht="30" customHeight="1" spans="1:1">
      <c r="A13" s="4" t="s">
        <v>313</v>
      </c>
    </row>
    <row r="14" ht="54" customHeight="1" spans="1:1">
      <c r="A14" s="4" t="s">
        <v>314</v>
      </c>
    </row>
    <row r="15" ht="10" customHeight="1" spans="1:1">
      <c r="A15" s="4" t="s">
        <v>304</v>
      </c>
    </row>
    <row r="16" ht="22" customHeight="1" spans="1:1">
      <c r="A16" s="5" t="s">
        <v>315</v>
      </c>
    </row>
    <row r="17" ht="30" customHeight="1" spans="1:1">
      <c r="A17" s="4" t="s">
        <v>316</v>
      </c>
    </row>
    <row r="18" ht="30" customHeight="1" spans="1:1">
      <c r="A18" s="4" t="s">
        <v>317</v>
      </c>
    </row>
    <row r="19" ht="42" customHeight="1" spans="1:1">
      <c r="A19" s="4" t="s">
        <v>318</v>
      </c>
    </row>
    <row r="20" ht="30" customHeight="1" spans="1:1">
      <c r="A20" s="4" t="s">
        <v>319</v>
      </c>
    </row>
    <row r="21" ht="10" customHeight="1" spans="1:1">
      <c r="A21" s="4" t="s">
        <v>304</v>
      </c>
    </row>
    <row r="22" ht="22" customHeight="1" spans="1:1">
      <c r="A22" s="5" t="s">
        <v>320</v>
      </c>
    </row>
    <row r="23" ht="22" customHeight="1" spans="1:1">
      <c r="A23" s="4" t="s">
        <v>321</v>
      </c>
    </row>
    <row r="24" ht="22" customHeight="1" spans="1:1">
      <c r="A24" s="4" t="s">
        <v>322</v>
      </c>
    </row>
    <row r="25" ht="22" customHeight="1" spans="1:1">
      <c r="A25" s="4" t="s">
        <v>323</v>
      </c>
    </row>
    <row r="26" ht="10" customHeight="1" spans="1:1">
      <c r="A26" s="4" t="s">
        <v>304</v>
      </c>
    </row>
    <row r="27" ht="22" customHeight="1" spans="1:1">
      <c r="A27" s="5" t="s">
        <v>324</v>
      </c>
    </row>
    <row r="28" ht="30" customHeight="1" spans="1:1">
      <c r="A28" s="4" t="s">
        <v>325</v>
      </c>
    </row>
    <row r="29" ht="54" customHeight="1" spans="1:1">
      <c r="A29" s="4" t="s">
        <v>326</v>
      </c>
    </row>
    <row r="30" ht="10" customHeight="1" spans="1:1">
      <c r="A30" s="4" t="s">
        <v>304</v>
      </c>
    </row>
    <row r="31" ht="22" customHeight="1" spans="1:1">
      <c r="A31" s="5" t="s">
        <v>327</v>
      </c>
    </row>
    <row r="32" ht="42" customHeight="1" spans="1:1">
      <c r="A32" s="4" t="s">
        <v>328</v>
      </c>
    </row>
    <row r="33" ht="10" customHeight="1" spans="1:1">
      <c r="A33" s="6"/>
    </row>
    <row r="34" ht="10" customHeight="1" spans="1:1">
      <c r="A34" s="6"/>
    </row>
    <row r="35" ht="10" customHeight="1" spans="1:1">
      <c r="A35" s="6"/>
    </row>
    <row r="36" ht="10" customHeight="1" spans="1:1">
      <c r="A36" s="6"/>
    </row>
    <row r="37" ht="10" customHeight="1" spans="1:1">
      <c r="A37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"/>
  <sheetViews>
    <sheetView workbookViewId="0">
      <selection activeCell="A1" sqref="A1"/>
    </sheetView>
  </sheetViews>
  <sheetFormatPr defaultColWidth="9" defaultRowHeight="14.5"/>
  <cols>
    <col min="1" max="1" width="10" customWidth="1"/>
    <col min="2" max="2" width="20" customWidth="1"/>
    <col min="3" max="4" width="10" customWidth="1"/>
    <col min="5" max="5" width="8" customWidth="1"/>
    <col min="6" max="6" width="10" customWidth="1"/>
    <col min="7" max="9" width="14" customWidth="1"/>
    <col min="10" max="11" width="12" customWidth="1"/>
    <col min="12" max="12" width="14" customWidth="1"/>
    <col min="13" max="13" width="16" customWidth="1"/>
    <col min="14" max="14" width="12" customWidth="1"/>
    <col min="15" max="15" width="20" customWidth="1"/>
  </cols>
  <sheetData>
    <row r="1" ht="26" spans="1:15">
      <c r="A1" s="1" t="s">
        <v>329</v>
      </c>
      <c r="B1" s="1" t="s">
        <v>330</v>
      </c>
      <c r="C1" s="1" t="s">
        <v>331</v>
      </c>
      <c r="D1" s="1" t="s">
        <v>5</v>
      </c>
      <c r="E1" s="1" t="s">
        <v>0</v>
      </c>
      <c r="F1" s="1" t="s">
        <v>1</v>
      </c>
      <c r="G1" s="1" t="s">
        <v>7</v>
      </c>
      <c r="H1" s="1" t="s">
        <v>8</v>
      </c>
      <c r="I1" s="1" t="s">
        <v>332</v>
      </c>
      <c r="J1" s="1" t="s">
        <v>333</v>
      </c>
      <c r="K1" s="1" t="s">
        <v>334</v>
      </c>
      <c r="L1" s="1" t="s">
        <v>335</v>
      </c>
      <c r="M1" s="1" t="s">
        <v>336</v>
      </c>
      <c r="N1" s="1" t="s">
        <v>337</v>
      </c>
      <c r="O1" s="1" t="s">
        <v>338</v>
      </c>
    </row>
    <row r="2" spans="1:15">
      <c r="A2" s="2" t="s">
        <v>304</v>
      </c>
      <c r="B2" s="2" t="s">
        <v>304</v>
      </c>
      <c r="C2" s="2" t="s">
        <v>304</v>
      </c>
      <c r="D2" s="2" t="s">
        <v>20</v>
      </c>
      <c r="E2" s="2" t="s">
        <v>15</v>
      </c>
      <c r="F2" s="2" t="s">
        <v>16</v>
      </c>
      <c r="G2" s="2" t="s">
        <v>21</v>
      </c>
      <c r="H2" s="2" t="s">
        <v>22</v>
      </c>
      <c r="I2" s="2" t="s">
        <v>304</v>
      </c>
      <c r="J2" s="2" t="str">
        <f t="shared" ref="J2:J49" si="0">IF(I2="","",IF(I2=G2,"采纳","未采纳"))</f>
        <v/>
      </c>
      <c r="K2" s="2" t="str">
        <f t="shared" ref="K2:K49" si="1">IF(I2="","",IF(H2="正确",IF(I2=G2,"适当依赖","依赖不足"),IF(I2=G2,"过度依赖","适当依赖")))</f>
        <v/>
      </c>
      <c r="L2" s="2" t="s">
        <v>304</v>
      </c>
      <c r="M2" s="2" t="s">
        <v>304</v>
      </c>
      <c r="N2" s="2" t="s">
        <v>304</v>
      </c>
      <c r="O2" s="2" t="s">
        <v>304</v>
      </c>
    </row>
    <row r="3" spans="1:15">
      <c r="A3" s="2" t="s">
        <v>304</v>
      </c>
      <c r="B3" s="2" t="s">
        <v>304</v>
      </c>
      <c r="C3" s="2" t="s">
        <v>304</v>
      </c>
      <c r="D3" s="2" t="s">
        <v>20</v>
      </c>
      <c r="E3" s="2" t="s">
        <v>29</v>
      </c>
      <c r="F3" s="2" t="s">
        <v>30</v>
      </c>
      <c r="G3" s="2" t="s">
        <v>33</v>
      </c>
      <c r="H3" s="2" t="s">
        <v>34</v>
      </c>
      <c r="I3" s="2" t="s">
        <v>304</v>
      </c>
      <c r="J3" s="2" t="str">
        <f t="shared" si="0"/>
        <v/>
      </c>
      <c r="K3" s="2" t="str">
        <f t="shared" si="1"/>
        <v/>
      </c>
      <c r="L3" s="2" t="s">
        <v>304</v>
      </c>
      <c r="M3" s="2" t="s">
        <v>304</v>
      </c>
      <c r="N3" s="2" t="s">
        <v>304</v>
      </c>
      <c r="O3" s="2" t="s">
        <v>304</v>
      </c>
    </row>
    <row r="4" spans="1:15">
      <c r="A4" s="2" t="s">
        <v>304</v>
      </c>
      <c r="B4" s="2" t="s">
        <v>304</v>
      </c>
      <c r="C4" s="2" t="s">
        <v>304</v>
      </c>
      <c r="D4" s="2" t="s">
        <v>20</v>
      </c>
      <c r="E4" s="2" t="s">
        <v>41</v>
      </c>
      <c r="F4" s="2" t="s">
        <v>42</v>
      </c>
      <c r="G4" s="2" t="s">
        <v>21</v>
      </c>
      <c r="H4" s="2" t="s">
        <v>22</v>
      </c>
      <c r="I4" s="2" t="s">
        <v>304</v>
      </c>
      <c r="J4" s="2" t="str">
        <f t="shared" si="0"/>
        <v/>
      </c>
      <c r="K4" s="2" t="str">
        <f t="shared" si="1"/>
        <v/>
      </c>
      <c r="L4" s="2" t="s">
        <v>304</v>
      </c>
      <c r="M4" s="2" t="s">
        <v>304</v>
      </c>
      <c r="N4" s="2" t="s">
        <v>304</v>
      </c>
      <c r="O4" s="2" t="s">
        <v>304</v>
      </c>
    </row>
    <row r="5" spans="1:15">
      <c r="A5" s="2" t="s">
        <v>304</v>
      </c>
      <c r="B5" s="2" t="s">
        <v>304</v>
      </c>
      <c r="C5" s="2" t="s">
        <v>304</v>
      </c>
      <c r="D5" s="2" t="s">
        <v>20</v>
      </c>
      <c r="E5" s="2" t="s">
        <v>48</v>
      </c>
      <c r="F5" s="2" t="s">
        <v>49</v>
      </c>
      <c r="G5" s="2" t="s">
        <v>21</v>
      </c>
      <c r="H5" s="2" t="s">
        <v>22</v>
      </c>
      <c r="I5" s="2" t="s">
        <v>304</v>
      </c>
      <c r="J5" s="2" t="str">
        <f t="shared" si="0"/>
        <v/>
      </c>
      <c r="K5" s="2" t="str">
        <f t="shared" si="1"/>
        <v/>
      </c>
      <c r="L5" s="2" t="s">
        <v>304</v>
      </c>
      <c r="M5" s="2" t="s">
        <v>304</v>
      </c>
      <c r="N5" s="2" t="s">
        <v>304</v>
      </c>
      <c r="O5" s="2" t="s">
        <v>304</v>
      </c>
    </row>
    <row r="6" spans="1:15">
      <c r="A6" s="2" t="s">
        <v>304</v>
      </c>
      <c r="B6" s="2" t="s">
        <v>304</v>
      </c>
      <c r="C6" s="2" t="s">
        <v>304</v>
      </c>
      <c r="D6" s="2" t="s">
        <v>20</v>
      </c>
      <c r="E6" s="2" t="s">
        <v>55</v>
      </c>
      <c r="F6" s="2" t="s">
        <v>56</v>
      </c>
      <c r="G6" s="2" t="s">
        <v>21</v>
      </c>
      <c r="H6" s="2" t="s">
        <v>34</v>
      </c>
      <c r="I6" s="2" t="s">
        <v>304</v>
      </c>
      <c r="J6" s="2" t="str">
        <f t="shared" si="0"/>
        <v/>
      </c>
      <c r="K6" s="2" t="str">
        <f t="shared" si="1"/>
        <v/>
      </c>
      <c r="L6" s="2" t="s">
        <v>304</v>
      </c>
      <c r="M6" s="2" t="s">
        <v>304</v>
      </c>
      <c r="N6" s="2" t="s">
        <v>304</v>
      </c>
      <c r="O6" s="2" t="s">
        <v>304</v>
      </c>
    </row>
    <row r="7" spans="1:15">
      <c r="A7" s="2" t="s">
        <v>304</v>
      </c>
      <c r="B7" s="2" t="s">
        <v>304</v>
      </c>
      <c r="C7" s="2" t="s">
        <v>304</v>
      </c>
      <c r="D7" s="2" t="s">
        <v>20</v>
      </c>
      <c r="E7" s="2" t="s">
        <v>63</v>
      </c>
      <c r="F7" s="2" t="s">
        <v>64</v>
      </c>
      <c r="G7" s="2" t="s">
        <v>33</v>
      </c>
      <c r="H7" s="2" t="s">
        <v>22</v>
      </c>
      <c r="I7" s="2" t="s">
        <v>304</v>
      </c>
      <c r="J7" s="2" t="str">
        <f t="shared" si="0"/>
        <v/>
      </c>
      <c r="K7" s="2" t="str">
        <f t="shared" si="1"/>
        <v/>
      </c>
      <c r="L7" s="2" t="s">
        <v>304</v>
      </c>
      <c r="M7" s="2" t="s">
        <v>304</v>
      </c>
      <c r="N7" s="2" t="s">
        <v>304</v>
      </c>
      <c r="O7" s="2" t="s">
        <v>304</v>
      </c>
    </row>
    <row r="8" spans="1:15">
      <c r="A8" s="2" t="s">
        <v>304</v>
      </c>
      <c r="B8" s="2" t="s">
        <v>304</v>
      </c>
      <c r="C8" s="2" t="s">
        <v>304</v>
      </c>
      <c r="D8" s="2" t="s">
        <v>20</v>
      </c>
      <c r="E8" s="2" t="s">
        <v>69</v>
      </c>
      <c r="F8" s="2" t="s">
        <v>70</v>
      </c>
      <c r="G8" s="2" t="s">
        <v>33</v>
      </c>
      <c r="H8" s="2" t="s">
        <v>22</v>
      </c>
      <c r="I8" s="2" t="s">
        <v>304</v>
      </c>
      <c r="J8" s="2" t="str">
        <f t="shared" si="0"/>
        <v/>
      </c>
      <c r="K8" s="2" t="str">
        <f t="shared" si="1"/>
        <v/>
      </c>
      <c r="L8" s="2" t="s">
        <v>304</v>
      </c>
      <c r="M8" s="2" t="s">
        <v>304</v>
      </c>
      <c r="N8" s="2" t="s">
        <v>304</v>
      </c>
      <c r="O8" s="2" t="s">
        <v>304</v>
      </c>
    </row>
    <row r="9" spans="1:15">
      <c r="A9" s="2" t="s">
        <v>304</v>
      </c>
      <c r="B9" s="2" t="s">
        <v>304</v>
      </c>
      <c r="C9" s="2" t="s">
        <v>304</v>
      </c>
      <c r="D9" s="2" t="s">
        <v>20</v>
      </c>
      <c r="E9" s="2" t="s">
        <v>74</v>
      </c>
      <c r="F9" s="2" t="s">
        <v>75</v>
      </c>
      <c r="G9" s="2" t="s">
        <v>21</v>
      </c>
      <c r="H9" s="2" t="s">
        <v>22</v>
      </c>
      <c r="I9" s="2" t="s">
        <v>304</v>
      </c>
      <c r="J9" s="2" t="str">
        <f t="shared" si="0"/>
        <v/>
      </c>
      <c r="K9" s="2" t="str">
        <f t="shared" si="1"/>
        <v/>
      </c>
      <c r="L9" s="2" t="s">
        <v>304</v>
      </c>
      <c r="M9" s="2" t="s">
        <v>304</v>
      </c>
      <c r="N9" s="2" t="s">
        <v>304</v>
      </c>
      <c r="O9" s="2" t="s">
        <v>304</v>
      </c>
    </row>
    <row r="10" spans="1:15">
      <c r="A10" s="2" t="s">
        <v>304</v>
      </c>
      <c r="B10" s="2" t="s">
        <v>304</v>
      </c>
      <c r="C10" s="2" t="s">
        <v>304</v>
      </c>
      <c r="D10" s="2" t="s">
        <v>20</v>
      </c>
      <c r="E10" s="2" t="s">
        <v>84</v>
      </c>
      <c r="F10" s="2" t="s">
        <v>85</v>
      </c>
      <c r="G10" s="2" t="s">
        <v>21</v>
      </c>
      <c r="H10" s="2" t="s">
        <v>22</v>
      </c>
      <c r="I10" s="2" t="s">
        <v>304</v>
      </c>
      <c r="J10" s="2" t="str">
        <f t="shared" si="0"/>
        <v/>
      </c>
      <c r="K10" s="2" t="str">
        <f t="shared" si="1"/>
        <v/>
      </c>
      <c r="L10" s="2" t="s">
        <v>304</v>
      </c>
      <c r="M10" s="2" t="s">
        <v>304</v>
      </c>
      <c r="N10" s="2" t="s">
        <v>304</v>
      </c>
      <c r="O10" s="2" t="s">
        <v>304</v>
      </c>
    </row>
    <row r="11" spans="1:15">
      <c r="A11" s="2" t="s">
        <v>304</v>
      </c>
      <c r="B11" s="2" t="s">
        <v>304</v>
      </c>
      <c r="C11" s="2" t="s">
        <v>304</v>
      </c>
      <c r="D11" s="2" t="s">
        <v>20</v>
      </c>
      <c r="E11" s="2" t="s">
        <v>92</v>
      </c>
      <c r="F11" s="2" t="s">
        <v>93</v>
      </c>
      <c r="G11" s="2" t="s">
        <v>33</v>
      </c>
      <c r="H11" s="2" t="s">
        <v>34</v>
      </c>
      <c r="I11" s="2" t="s">
        <v>304</v>
      </c>
      <c r="J11" s="2" t="str">
        <f t="shared" si="0"/>
        <v/>
      </c>
      <c r="K11" s="2" t="str">
        <f t="shared" si="1"/>
        <v/>
      </c>
      <c r="L11" s="2" t="s">
        <v>304</v>
      </c>
      <c r="M11" s="2" t="s">
        <v>304</v>
      </c>
      <c r="N11" s="2" t="s">
        <v>304</v>
      </c>
      <c r="O11" s="2" t="s">
        <v>304</v>
      </c>
    </row>
    <row r="12" spans="1:15">
      <c r="A12" s="2" t="s">
        <v>304</v>
      </c>
      <c r="B12" s="2" t="s">
        <v>304</v>
      </c>
      <c r="C12" s="2" t="s">
        <v>304</v>
      </c>
      <c r="D12" s="2" t="s">
        <v>20</v>
      </c>
      <c r="E12" s="2" t="s">
        <v>100</v>
      </c>
      <c r="F12" s="2" t="s">
        <v>101</v>
      </c>
      <c r="G12" s="2" t="s">
        <v>21</v>
      </c>
      <c r="H12" s="2" t="s">
        <v>22</v>
      </c>
      <c r="I12" s="2" t="s">
        <v>304</v>
      </c>
      <c r="J12" s="2" t="str">
        <f t="shared" si="0"/>
        <v/>
      </c>
      <c r="K12" s="2" t="str">
        <f t="shared" si="1"/>
        <v/>
      </c>
      <c r="L12" s="2" t="s">
        <v>304</v>
      </c>
      <c r="M12" s="2" t="s">
        <v>304</v>
      </c>
      <c r="N12" s="2" t="s">
        <v>304</v>
      </c>
      <c r="O12" s="2" t="s">
        <v>304</v>
      </c>
    </row>
    <row r="13" spans="1:15">
      <c r="A13" s="2" t="s">
        <v>304</v>
      </c>
      <c r="B13" s="2" t="s">
        <v>304</v>
      </c>
      <c r="C13" s="2" t="s">
        <v>304</v>
      </c>
      <c r="D13" s="2" t="s">
        <v>20</v>
      </c>
      <c r="E13" s="2" t="s">
        <v>109</v>
      </c>
      <c r="F13" s="2" t="s">
        <v>110</v>
      </c>
      <c r="G13" s="2" t="s">
        <v>21</v>
      </c>
      <c r="H13" s="2" t="s">
        <v>34</v>
      </c>
      <c r="I13" s="2" t="s">
        <v>304</v>
      </c>
      <c r="J13" s="2" t="str">
        <f t="shared" si="0"/>
        <v/>
      </c>
      <c r="K13" s="2" t="str">
        <f t="shared" si="1"/>
        <v/>
      </c>
      <c r="L13" s="2" t="s">
        <v>304</v>
      </c>
      <c r="M13" s="2" t="s">
        <v>304</v>
      </c>
      <c r="N13" s="2" t="s">
        <v>304</v>
      </c>
      <c r="O13" s="2" t="s">
        <v>304</v>
      </c>
    </row>
    <row r="14" spans="1:15">
      <c r="A14" s="2" t="s">
        <v>304</v>
      </c>
      <c r="B14" s="2" t="s">
        <v>304</v>
      </c>
      <c r="C14" s="2" t="s">
        <v>304</v>
      </c>
      <c r="D14" s="2" t="s">
        <v>20</v>
      </c>
      <c r="E14" s="2" t="s">
        <v>112</v>
      </c>
      <c r="F14" s="2" t="s">
        <v>113</v>
      </c>
      <c r="G14" s="2" t="s">
        <v>33</v>
      </c>
      <c r="H14" s="2" t="s">
        <v>22</v>
      </c>
      <c r="I14" s="2" t="s">
        <v>304</v>
      </c>
      <c r="J14" s="2" t="str">
        <f t="shared" si="0"/>
        <v/>
      </c>
      <c r="K14" s="2" t="str">
        <f t="shared" si="1"/>
        <v/>
      </c>
      <c r="L14" s="2" t="s">
        <v>304</v>
      </c>
      <c r="M14" s="2" t="s">
        <v>304</v>
      </c>
      <c r="N14" s="2" t="s">
        <v>304</v>
      </c>
      <c r="O14" s="2" t="s">
        <v>304</v>
      </c>
    </row>
    <row r="15" spans="1:15">
      <c r="A15" s="2" t="s">
        <v>304</v>
      </c>
      <c r="B15" s="2" t="s">
        <v>304</v>
      </c>
      <c r="C15" s="2" t="s">
        <v>304</v>
      </c>
      <c r="D15" s="2" t="s">
        <v>20</v>
      </c>
      <c r="E15" s="2" t="s">
        <v>116</v>
      </c>
      <c r="F15" s="2" t="s">
        <v>117</v>
      </c>
      <c r="G15" s="2" t="s">
        <v>33</v>
      </c>
      <c r="H15" s="2" t="s">
        <v>22</v>
      </c>
      <c r="I15" s="2" t="s">
        <v>304</v>
      </c>
      <c r="J15" s="2" t="str">
        <f t="shared" si="0"/>
        <v/>
      </c>
      <c r="K15" s="2" t="str">
        <f t="shared" si="1"/>
        <v/>
      </c>
      <c r="L15" s="2" t="s">
        <v>304</v>
      </c>
      <c r="M15" s="2" t="s">
        <v>304</v>
      </c>
      <c r="N15" s="2" t="s">
        <v>304</v>
      </c>
      <c r="O15" s="2" t="s">
        <v>304</v>
      </c>
    </row>
    <row r="16" spans="1:15">
      <c r="A16" s="2" t="s">
        <v>304</v>
      </c>
      <c r="B16" s="2" t="s">
        <v>304</v>
      </c>
      <c r="C16" s="2" t="s">
        <v>304</v>
      </c>
      <c r="D16" s="2" t="s">
        <v>20</v>
      </c>
      <c r="E16" s="2" t="s">
        <v>120</v>
      </c>
      <c r="F16" s="2" t="s">
        <v>121</v>
      </c>
      <c r="G16" s="2" t="s">
        <v>33</v>
      </c>
      <c r="H16" s="2" t="s">
        <v>22</v>
      </c>
      <c r="I16" s="2" t="s">
        <v>304</v>
      </c>
      <c r="J16" s="2" t="str">
        <f t="shared" si="0"/>
        <v/>
      </c>
      <c r="K16" s="2" t="str">
        <f t="shared" si="1"/>
        <v/>
      </c>
      <c r="L16" s="2" t="s">
        <v>304</v>
      </c>
      <c r="M16" s="2" t="s">
        <v>304</v>
      </c>
      <c r="N16" s="2" t="s">
        <v>304</v>
      </c>
      <c r="O16" s="2" t="s">
        <v>304</v>
      </c>
    </row>
    <row r="17" spans="1:15">
      <c r="A17" s="2" t="s">
        <v>304</v>
      </c>
      <c r="B17" s="2" t="s">
        <v>304</v>
      </c>
      <c r="C17" s="2" t="s">
        <v>304</v>
      </c>
      <c r="D17" s="2" t="s">
        <v>20</v>
      </c>
      <c r="E17" s="2" t="s">
        <v>124</v>
      </c>
      <c r="F17" s="2" t="s">
        <v>125</v>
      </c>
      <c r="G17" s="2" t="s">
        <v>21</v>
      </c>
      <c r="H17" s="2" t="s">
        <v>22</v>
      </c>
      <c r="I17" s="2" t="s">
        <v>304</v>
      </c>
      <c r="J17" s="2" t="str">
        <f t="shared" si="0"/>
        <v/>
      </c>
      <c r="K17" s="2" t="str">
        <f t="shared" si="1"/>
        <v/>
      </c>
      <c r="L17" s="2" t="s">
        <v>304</v>
      </c>
      <c r="M17" s="2" t="s">
        <v>304</v>
      </c>
      <c r="N17" s="2" t="s">
        <v>304</v>
      </c>
      <c r="O17" s="2" t="s">
        <v>304</v>
      </c>
    </row>
    <row r="18" spans="1:15">
      <c r="A18" s="2" t="s">
        <v>304</v>
      </c>
      <c r="B18" s="2" t="s">
        <v>304</v>
      </c>
      <c r="C18" s="2" t="s">
        <v>304</v>
      </c>
      <c r="D18" s="2" t="s">
        <v>20</v>
      </c>
      <c r="E18" s="2" t="s">
        <v>133</v>
      </c>
      <c r="F18" s="2" t="s">
        <v>134</v>
      </c>
      <c r="G18" s="2" t="s">
        <v>21</v>
      </c>
      <c r="H18" s="2" t="s">
        <v>22</v>
      </c>
      <c r="I18" s="2" t="s">
        <v>304</v>
      </c>
      <c r="J18" s="2" t="str">
        <f t="shared" si="0"/>
        <v/>
      </c>
      <c r="K18" s="2" t="str">
        <f t="shared" si="1"/>
        <v/>
      </c>
      <c r="L18" s="2" t="s">
        <v>304</v>
      </c>
      <c r="M18" s="2" t="s">
        <v>304</v>
      </c>
      <c r="N18" s="2" t="s">
        <v>304</v>
      </c>
      <c r="O18" s="2" t="s">
        <v>304</v>
      </c>
    </row>
    <row r="19" spans="1:15">
      <c r="A19" s="2" t="s">
        <v>304</v>
      </c>
      <c r="B19" s="2" t="s">
        <v>304</v>
      </c>
      <c r="C19" s="2" t="s">
        <v>304</v>
      </c>
      <c r="D19" s="2" t="s">
        <v>20</v>
      </c>
      <c r="E19" s="2" t="s">
        <v>142</v>
      </c>
      <c r="F19" s="2" t="s">
        <v>143</v>
      </c>
      <c r="G19" s="2" t="s">
        <v>33</v>
      </c>
      <c r="H19" s="2" t="s">
        <v>34</v>
      </c>
      <c r="I19" s="2" t="s">
        <v>304</v>
      </c>
      <c r="J19" s="2" t="str">
        <f t="shared" si="0"/>
        <v/>
      </c>
      <c r="K19" s="2" t="str">
        <f t="shared" si="1"/>
        <v/>
      </c>
      <c r="L19" s="2" t="s">
        <v>304</v>
      </c>
      <c r="M19" s="2" t="s">
        <v>304</v>
      </c>
      <c r="N19" s="2" t="s">
        <v>304</v>
      </c>
      <c r="O19" s="2" t="s">
        <v>304</v>
      </c>
    </row>
    <row r="20" spans="1:15">
      <c r="A20" s="2" t="s">
        <v>304</v>
      </c>
      <c r="B20" s="2" t="s">
        <v>304</v>
      </c>
      <c r="C20" s="2" t="s">
        <v>304</v>
      </c>
      <c r="D20" s="2" t="s">
        <v>20</v>
      </c>
      <c r="E20" s="2" t="s">
        <v>149</v>
      </c>
      <c r="F20" s="2" t="s">
        <v>150</v>
      </c>
      <c r="G20" s="2" t="s">
        <v>21</v>
      </c>
      <c r="H20" s="2" t="s">
        <v>22</v>
      </c>
      <c r="I20" s="2" t="s">
        <v>304</v>
      </c>
      <c r="J20" s="2" t="str">
        <f t="shared" si="0"/>
        <v/>
      </c>
      <c r="K20" s="2" t="str">
        <f t="shared" si="1"/>
        <v/>
      </c>
      <c r="L20" s="2" t="s">
        <v>304</v>
      </c>
      <c r="M20" s="2" t="s">
        <v>304</v>
      </c>
      <c r="N20" s="2" t="s">
        <v>304</v>
      </c>
      <c r="O20" s="2" t="s">
        <v>304</v>
      </c>
    </row>
    <row r="21" spans="1:15">
      <c r="A21" s="2" t="s">
        <v>304</v>
      </c>
      <c r="B21" s="2" t="s">
        <v>304</v>
      </c>
      <c r="C21" s="2" t="s">
        <v>304</v>
      </c>
      <c r="D21" s="2" t="s">
        <v>20</v>
      </c>
      <c r="E21" s="2" t="s">
        <v>157</v>
      </c>
      <c r="F21" s="2" t="s">
        <v>158</v>
      </c>
      <c r="G21" s="2" t="s">
        <v>33</v>
      </c>
      <c r="H21" s="2" t="s">
        <v>22</v>
      </c>
      <c r="I21" s="2" t="s">
        <v>304</v>
      </c>
      <c r="J21" s="2" t="str">
        <f t="shared" si="0"/>
        <v/>
      </c>
      <c r="K21" s="2" t="str">
        <f t="shared" si="1"/>
        <v/>
      </c>
      <c r="L21" s="2" t="s">
        <v>304</v>
      </c>
      <c r="M21" s="2" t="s">
        <v>304</v>
      </c>
      <c r="N21" s="2" t="s">
        <v>304</v>
      </c>
      <c r="O21" s="2" t="s">
        <v>304</v>
      </c>
    </row>
    <row r="22" spans="1:15">
      <c r="A22" s="2" t="s">
        <v>304</v>
      </c>
      <c r="B22" s="2" t="s">
        <v>304</v>
      </c>
      <c r="C22" s="2" t="s">
        <v>304</v>
      </c>
      <c r="D22" s="2" t="s">
        <v>20</v>
      </c>
      <c r="E22" s="2" t="s">
        <v>161</v>
      </c>
      <c r="F22" s="2" t="s">
        <v>162</v>
      </c>
      <c r="G22" s="2" t="s">
        <v>21</v>
      </c>
      <c r="H22" s="2" t="s">
        <v>34</v>
      </c>
      <c r="I22" s="2" t="s">
        <v>304</v>
      </c>
      <c r="J22" s="2" t="str">
        <f t="shared" si="0"/>
        <v/>
      </c>
      <c r="K22" s="2" t="str">
        <f t="shared" si="1"/>
        <v/>
      </c>
      <c r="L22" s="2" t="s">
        <v>304</v>
      </c>
      <c r="M22" s="2" t="s">
        <v>304</v>
      </c>
      <c r="N22" s="2" t="s">
        <v>304</v>
      </c>
      <c r="O22" s="2" t="s">
        <v>304</v>
      </c>
    </row>
    <row r="23" spans="1:15">
      <c r="A23" s="2" t="s">
        <v>304</v>
      </c>
      <c r="B23" s="2" t="s">
        <v>304</v>
      </c>
      <c r="C23" s="2" t="s">
        <v>304</v>
      </c>
      <c r="D23" s="2" t="s">
        <v>20</v>
      </c>
      <c r="E23" s="2" t="s">
        <v>167</v>
      </c>
      <c r="F23" s="2" t="s">
        <v>168</v>
      </c>
      <c r="G23" s="2" t="s">
        <v>33</v>
      </c>
      <c r="H23" s="2" t="s">
        <v>22</v>
      </c>
      <c r="I23" s="2" t="s">
        <v>304</v>
      </c>
      <c r="J23" s="2" t="str">
        <f t="shared" si="0"/>
        <v/>
      </c>
      <c r="K23" s="2" t="str">
        <f t="shared" si="1"/>
        <v/>
      </c>
      <c r="L23" s="2" t="s">
        <v>304</v>
      </c>
      <c r="M23" s="2" t="s">
        <v>304</v>
      </c>
      <c r="N23" s="2" t="s">
        <v>304</v>
      </c>
      <c r="O23" s="2" t="s">
        <v>304</v>
      </c>
    </row>
    <row r="24" spans="1:15">
      <c r="A24" s="2" t="s">
        <v>304</v>
      </c>
      <c r="B24" s="2" t="s">
        <v>304</v>
      </c>
      <c r="C24" s="2" t="s">
        <v>304</v>
      </c>
      <c r="D24" s="2" t="s">
        <v>20</v>
      </c>
      <c r="E24" s="2" t="s">
        <v>172</v>
      </c>
      <c r="F24" s="2" t="s">
        <v>173</v>
      </c>
      <c r="G24" s="2" t="s">
        <v>33</v>
      </c>
      <c r="H24" s="2" t="s">
        <v>22</v>
      </c>
      <c r="I24" s="2" t="s">
        <v>304</v>
      </c>
      <c r="J24" s="2" t="str">
        <f t="shared" si="0"/>
        <v/>
      </c>
      <c r="K24" s="2" t="str">
        <f t="shared" si="1"/>
        <v/>
      </c>
      <c r="L24" s="2" t="s">
        <v>304</v>
      </c>
      <c r="M24" s="2" t="s">
        <v>304</v>
      </c>
      <c r="N24" s="2" t="s">
        <v>304</v>
      </c>
      <c r="O24" s="2" t="s">
        <v>304</v>
      </c>
    </row>
    <row r="25" spans="1:15">
      <c r="A25" s="2" t="s">
        <v>304</v>
      </c>
      <c r="B25" s="2" t="s">
        <v>304</v>
      </c>
      <c r="C25" s="2" t="s">
        <v>304</v>
      </c>
      <c r="D25" s="2" t="s">
        <v>177</v>
      </c>
      <c r="E25" s="2" t="s">
        <v>175</v>
      </c>
      <c r="F25" s="2" t="s">
        <v>176</v>
      </c>
      <c r="G25" s="2" t="s">
        <v>21</v>
      </c>
      <c r="H25" s="2" t="s">
        <v>22</v>
      </c>
      <c r="I25" s="2" t="s">
        <v>304</v>
      </c>
      <c r="J25" s="2" t="str">
        <f t="shared" si="0"/>
        <v/>
      </c>
      <c r="K25" s="2" t="str">
        <f t="shared" si="1"/>
        <v/>
      </c>
      <c r="L25" s="2" t="s">
        <v>304</v>
      </c>
      <c r="M25" s="2" t="s">
        <v>304</v>
      </c>
      <c r="N25" s="2" t="s">
        <v>304</v>
      </c>
      <c r="O25" s="2" t="s">
        <v>304</v>
      </c>
    </row>
    <row r="26" spans="1:15">
      <c r="A26" s="2" t="s">
        <v>304</v>
      </c>
      <c r="B26" s="2" t="s">
        <v>304</v>
      </c>
      <c r="C26" s="2" t="s">
        <v>304</v>
      </c>
      <c r="D26" s="2" t="s">
        <v>177</v>
      </c>
      <c r="E26" s="2" t="s">
        <v>183</v>
      </c>
      <c r="F26" s="2" t="s">
        <v>184</v>
      </c>
      <c r="G26" s="2" t="s">
        <v>33</v>
      </c>
      <c r="H26" s="2" t="s">
        <v>34</v>
      </c>
      <c r="I26" s="2" t="s">
        <v>304</v>
      </c>
      <c r="J26" s="2" t="str">
        <f t="shared" si="0"/>
        <v/>
      </c>
      <c r="K26" s="2" t="str">
        <f t="shared" si="1"/>
        <v/>
      </c>
      <c r="L26" s="2" t="s">
        <v>304</v>
      </c>
      <c r="M26" s="2" t="s">
        <v>304</v>
      </c>
      <c r="N26" s="2" t="s">
        <v>304</v>
      </c>
      <c r="O26" s="2" t="s">
        <v>304</v>
      </c>
    </row>
    <row r="27" spans="1:15">
      <c r="A27" s="2" t="s">
        <v>304</v>
      </c>
      <c r="B27" s="2" t="s">
        <v>304</v>
      </c>
      <c r="C27" s="2" t="s">
        <v>304</v>
      </c>
      <c r="D27" s="2" t="s">
        <v>177</v>
      </c>
      <c r="E27" s="2" t="s">
        <v>190</v>
      </c>
      <c r="F27" s="2" t="s">
        <v>191</v>
      </c>
      <c r="G27" s="2" t="s">
        <v>21</v>
      </c>
      <c r="H27" s="2" t="s">
        <v>22</v>
      </c>
      <c r="I27" s="2" t="s">
        <v>304</v>
      </c>
      <c r="J27" s="2" t="str">
        <f t="shared" si="0"/>
        <v/>
      </c>
      <c r="K27" s="2" t="str">
        <f t="shared" si="1"/>
        <v/>
      </c>
      <c r="L27" s="2" t="s">
        <v>304</v>
      </c>
      <c r="M27" s="2" t="s">
        <v>304</v>
      </c>
      <c r="N27" s="2" t="s">
        <v>304</v>
      </c>
      <c r="O27" s="2" t="s">
        <v>304</v>
      </c>
    </row>
    <row r="28" spans="1:15">
      <c r="A28" s="2" t="s">
        <v>304</v>
      </c>
      <c r="B28" s="2" t="s">
        <v>304</v>
      </c>
      <c r="C28" s="2" t="s">
        <v>304</v>
      </c>
      <c r="D28" s="2" t="s">
        <v>177</v>
      </c>
      <c r="E28" s="2" t="s">
        <v>196</v>
      </c>
      <c r="F28" s="2" t="s">
        <v>197</v>
      </c>
      <c r="G28" s="2" t="s">
        <v>21</v>
      </c>
      <c r="H28" s="2" t="s">
        <v>22</v>
      </c>
      <c r="I28" s="2" t="s">
        <v>304</v>
      </c>
      <c r="J28" s="2" t="str">
        <f t="shared" si="0"/>
        <v/>
      </c>
      <c r="K28" s="2" t="str">
        <f t="shared" si="1"/>
        <v/>
      </c>
      <c r="L28" s="2" t="s">
        <v>304</v>
      </c>
      <c r="M28" s="2" t="s">
        <v>304</v>
      </c>
      <c r="N28" s="2" t="s">
        <v>304</v>
      </c>
      <c r="O28" s="2" t="s">
        <v>304</v>
      </c>
    </row>
    <row r="29" spans="1:15">
      <c r="A29" s="2" t="s">
        <v>304</v>
      </c>
      <c r="B29" s="2" t="s">
        <v>304</v>
      </c>
      <c r="C29" s="2" t="s">
        <v>304</v>
      </c>
      <c r="D29" s="2" t="s">
        <v>177</v>
      </c>
      <c r="E29" s="2" t="s">
        <v>204</v>
      </c>
      <c r="F29" s="2" t="s">
        <v>205</v>
      </c>
      <c r="G29" s="2" t="s">
        <v>33</v>
      </c>
      <c r="H29" s="2" t="s">
        <v>22</v>
      </c>
      <c r="I29" s="2" t="s">
        <v>304</v>
      </c>
      <c r="J29" s="2" t="str">
        <f t="shared" si="0"/>
        <v/>
      </c>
      <c r="K29" s="2" t="str">
        <f t="shared" si="1"/>
        <v/>
      </c>
      <c r="L29" s="2" t="s">
        <v>304</v>
      </c>
      <c r="M29" s="2" t="s">
        <v>304</v>
      </c>
      <c r="N29" s="2" t="s">
        <v>304</v>
      </c>
      <c r="O29" s="2" t="s">
        <v>304</v>
      </c>
    </row>
    <row r="30" spans="1:15">
      <c r="A30" s="2" t="s">
        <v>304</v>
      </c>
      <c r="B30" s="2" t="s">
        <v>304</v>
      </c>
      <c r="C30" s="2" t="s">
        <v>304</v>
      </c>
      <c r="D30" s="2" t="s">
        <v>177</v>
      </c>
      <c r="E30" s="2" t="s">
        <v>208</v>
      </c>
      <c r="F30" s="2" t="s">
        <v>209</v>
      </c>
      <c r="G30" s="2" t="s">
        <v>33</v>
      </c>
      <c r="H30" s="2" t="s">
        <v>22</v>
      </c>
      <c r="I30" s="2" t="s">
        <v>304</v>
      </c>
      <c r="J30" s="2" t="str">
        <f t="shared" si="0"/>
        <v/>
      </c>
      <c r="K30" s="2" t="str">
        <f t="shared" si="1"/>
        <v/>
      </c>
      <c r="L30" s="2" t="s">
        <v>304</v>
      </c>
      <c r="M30" s="2" t="s">
        <v>304</v>
      </c>
      <c r="N30" s="2" t="s">
        <v>304</v>
      </c>
      <c r="O30" s="2" t="s">
        <v>304</v>
      </c>
    </row>
    <row r="31" spans="1:15">
      <c r="A31" s="2" t="s">
        <v>304</v>
      </c>
      <c r="B31" s="2" t="s">
        <v>304</v>
      </c>
      <c r="C31" s="2" t="s">
        <v>304</v>
      </c>
      <c r="D31" s="2" t="s">
        <v>177</v>
      </c>
      <c r="E31" s="2" t="s">
        <v>211</v>
      </c>
      <c r="F31" s="2" t="s">
        <v>212</v>
      </c>
      <c r="G31" s="2" t="s">
        <v>33</v>
      </c>
      <c r="H31" s="2" t="s">
        <v>22</v>
      </c>
      <c r="I31" s="2" t="s">
        <v>304</v>
      </c>
      <c r="J31" s="2" t="str">
        <f t="shared" si="0"/>
        <v/>
      </c>
      <c r="K31" s="2" t="str">
        <f t="shared" si="1"/>
        <v/>
      </c>
      <c r="L31" s="2" t="s">
        <v>304</v>
      </c>
      <c r="M31" s="2" t="s">
        <v>304</v>
      </c>
      <c r="N31" s="2" t="s">
        <v>304</v>
      </c>
      <c r="O31" s="2" t="s">
        <v>304</v>
      </c>
    </row>
    <row r="32" spans="1:15">
      <c r="A32" s="2" t="s">
        <v>304</v>
      </c>
      <c r="B32" s="2" t="s">
        <v>304</v>
      </c>
      <c r="C32" s="2" t="s">
        <v>304</v>
      </c>
      <c r="D32" s="2" t="s">
        <v>177</v>
      </c>
      <c r="E32" s="2" t="s">
        <v>214</v>
      </c>
      <c r="F32" s="2" t="s">
        <v>215</v>
      </c>
      <c r="G32" s="2" t="s">
        <v>21</v>
      </c>
      <c r="H32" s="2" t="s">
        <v>34</v>
      </c>
      <c r="I32" s="2" t="s">
        <v>304</v>
      </c>
      <c r="J32" s="2" t="str">
        <f t="shared" si="0"/>
        <v/>
      </c>
      <c r="K32" s="2" t="str">
        <f t="shared" si="1"/>
        <v/>
      </c>
      <c r="L32" s="2" t="s">
        <v>304</v>
      </c>
      <c r="M32" s="2" t="s">
        <v>304</v>
      </c>
      <c r="N32" s="2" t="s">
        <v>304</v>
      </c>
      <c r="O32" s="2" t="s">
        <v>304</v>
      </c>
    </row>
    <row r="33" spans="1:15">
      <c r="A33" s="2" t="s">
        <v>304</v>
      </c>
      <c r="B33" s="2" t="s">
        <v>304</v>
      </c>
      <c r="C33" s="2" t="s">
        <v>304</v>
      </c>
      <c r="D33" s="2" t="s">
        <v>177</v>
      </c>
      <c r="E33" s="2" t="s">
        <v>217</v>
      </c>
      <c r="F33" s="2" t="s">
        <v>218</v>
      </c>
      <c r="G33" s="2" t="s">
        <v>21</v>
      </c>
      <c r="H33" s="2" t="s">
        <v>22</v>
      </c>
      <c r="I33" s="2" t="s">
        <v>304</v>
      </c>
      <c r="J33" s="2" t="str">
        <f t="shared" si="0"/>
        <v/>
      </c>
      <c r="K33" s="2" t="str">
        <f t="shared" si="1"/>
        <v/>
      </c>
      <c r="L33" s="2" t="s">
        <v>304</v>
      </c>
      <c r="M33" s="2" t="s">
        <v>304</v>
      </c>
      <c r="N33" s="2" t="s">
        <v>304</v>
      </c>
      <c r="O33" s="2" t="s">
        <v>304</v>
      </c>
    </row>
    <row r="34" spans="1:15">
      <c r="A34" s="2" t="s">
        <v>304</v>
      </c>
      <c r="B34" s="2" t="s">
        <v>304</v>
      </c>
      <c r="C34" s="2" t="s">
        <v>304</v>
      </c>
      <c r="D34" s="2" t="s">
        <v>177</v>
      </c>
      <c r="E34" s="2" t="s">
        <v>223</v>
      </c>
      <c r="F34" s="2" t="s">
        <v>224</v>
      </c>
      <c r="G34" s="2" t="s">
        <v>21</v>
      </c>
      <c r="H34" s="2" t="s">
        <v>22</v>
      </c>
      <c r="I34" s="2" t="s">
        <v>304</v>
      </c>
      <c r="J34" s="2" t="str">
        <f t="shared" si="0"/>
        <v/>
      </c>
      <c r="K34" s="2" t="str">
        <f t="shared" si="1"/>
        <v/>
      </c>
      <c r="L34" s="2" t="s">
        <v>304</v>
      </c>
      <c r="M34" s="2" t="s">
        <v>304</v>
      </c>
      <c r="N34" s="2" t="s">
        <v>304</v>
      </c>
      <c r="O34" s="2" t="s">
        <v>304</v>
      </c>
    </row>
    <row r="35" spans="1:15">
      <c r="A35" s="2" t="s">
        <v>304</v>
      </c>
      <c r="B35" s="2" t="s">
        <v>304</v>
      </c>
      <c r="C35" s="2" t="s">
        <v>304</v>
      </c>
      <c r="D35" s="2" t="s">
        <v>177</v>
      </c>
      <c r="E35" s="2" t="s">
        <v>229</v>
      </c>
      <c r="F35" s="2" t="s">
        <v>230</v>
      </c>
      <c r="G35" s="2" t="s">
        <v>33</v>
      </c>
      <c r="H35" s="2" t="s">
        <v>34</v>
      </c>
      <c r="I35" s="2" t="s">
        <v>304</v>
      </c>
      <c r="J35" s="2" t="str">
        <f t="shared" si="0"/>
        <v/>
      </c>
      <c r="K35" s="2" t="str">
        <f t="shared" si="1"/>
        <v/>
      </c>
      <c r="L35" s="2" t="s">
        <v>304</v>
      </c>
      <c r="M35" s="2" t="s">
        <v>304</v>
      </c>
      <c r="N35" s="2" t="s">
        <v>304</v>
      </c>
      <c r="O35" s="2" t="s">
        <v>304</v>
      </c>
    </row>
    <row r="36" spans="1:15">
      <c r="A36" s="2" t="s">
        <v>304</v>
      </c>
      <c r="B36" s="2" t="s">
        <v>304</v>
      </c>
      <c r="C36" s="2" t="s">
        <v>304</v>
      </c>
      <c r="D36" s="2" t="s">
        <v>177</v>
      </c>
      <c r="E36" s="2" t="s">
        <v>237</v>
      </c>
      <c r="F36" s="2" t="s">
        <v>238</v>
      </c>
      <c r="G36" s="2" t="s">
        <v>21</v>
      </c>
      <c r="H36" s="2" t="s">
        <v>22</v>
      </c>
      <c r="I36" s="2" t="s">
        <v>304</v>
      </c>
      <c r="J36" s="2" t="str">
        <f t="shared" si="0"/>
        <v/>
      </c>
      <c r="K36" s="2" t="str">
        <f t="shared" si="1"/>
        <v/>
      </c>
      <c r="L36" s="2" t="s">
        <v>304</v>
      </c>
      <c r="M36" s="2" t="s">
        <v>304</v>
      </c>
      <c r="N36" s="2" t="s">
        <v>304</v>
      </c>
      <c r="O36" s="2" t="s">
        <v>304</v>
      </c>
    </row>
    <row r="37" spans="1:15">
      <c r="A37" s="2" t="s">
        <v>304</v>
      </c>
      <c r="B37" s="2" t="s">
        <v>304</v>
      </c>
      <c r="C37" s="2" t="s">
        <v>304</v>
      </c>
      <c r="D37" s="2" t="s">
        <v>177</v>
      </c>
      <c r="E37" s="2" t="s">
        <v>243</v>
      </c>
      <c r="F37" s="2" t="s">
        <v>244</v>
      </c>
      <c r="G37" s="2" t="s">
        <v>21</v>
      </c>
      <c r="H37" s="2" t="s">
        <v>34</v>
      </c>
      <c r="I37" s="2" t="s">
        <v>304</v>
      </c>
      <c r="J37" s="2" t="str">
        <f t="shared" si="0"/>
        <v/>
      </c>
      <c r="K37" s="2" t="str">
        <f t="shared" si="1"/>
        <v/>
      </c>
      <c r="L37" s="2" t="s">
        <v>304</v>
      </c>
      <c r="M37" s="2" t="s">
        <v>304</v>
      </c>
      <c r="N37" s="2" t="s">
        <v>304</v>
      </c>
      <c r="O37" s="2" t="s">
        <v>304</v>
      </c>
    </row>
    <row r="38" spans="1:15">
      <c r="A38" s="2" t="s">
        <v>304</v>
      </c>
      <c r="B38" s="2" t="s">
        <v>304</v>
      </c>
      <c r="C38" s="2" t="s">
        <v>304</v>
      </c>
      <c r="D38" s="2" t="s">
        <v>177</v>
      </c>
      <c r="E38" s="2" t="s">
        <v>247</v>
      </c>
      <c r="F38" s="2" t="s">
        <v>248</v>
      </c>
      <c r="G38" s="2" t="s">
        <v>33</v>
      </c>
      <c r="H38" s="2" t="s">
        <v>22</v>
      </c>
      <c r="I38" s="2" t="s">
        <v>304</v>
      </c>
      <c r="J38" s="2" t="str">
        <f t="shared" si="0"/>
        <v/>
      </c>
      <c r="K38" s="2" t="str">
        <f t="shared" si="1"/>
        <v/>
      </c>
      <c r="L38" s="2" t="s">
        <v>304</v>
      </c>
      <c r="M38" s="2" t="s">
        <v>304</v>
      </c>
      <c r="N38" s="2" t="s">
        <v>304</v>
      </c>
      <c r="O38" s="2" t="s">
        <v>304</v>
      </c>
    </row>
    <row r="39" spans="1:15">
      <c r="A39" s="2" t="s">
        <v>304</v>
      </c>
      <c r="B39" s="2" t="s">
        <v>304</v>
      </c>
      <c r="C39" s="2" t="s">
        <v>304</v>
      </c>
      <c r="D39" s="2" t="s">
        <v>177</v>
      </c>
      <c r="E39" s="2" t="s">
        <v>250</v>
      </c>
      <c r="F39" s="2" t="s">
        <v>251</v>
      </c>
      <c r="G39" s="2" t="s">
        <v>33</v>
      </c>
      <c r="H39" s="2" t="s">
        <v>22</v>
      </c>
      <c r="I39" s="2" t="s">
        <v>304</v>
      </c>
      <c r="J39" s="2" t="str">
        <f t="shared" si="0"/>
        <v/>
      </c>
      <c r="K39" s="2" t="str">
        <f t="shared" si="1"/>
        <v/>
      </c>
      <c r="L39" s="2" t="s">
        <v>304</v>
      </c>
      <c r="M39" s="2" t="s">
        <v>304</v>
      </c>
      <c r="N39" s="2" t="s">
        <v>304</v>
      </c>
      <c r="O39" s="2" t="s">
        <v>304</v>
      </c>
    </row>
    <row r="40" spans="1:15">
      <c r="A40" s="2" t="s">
        <v>304</v>
      </c>
      <c r="B40" s="2" t="s">
        <v>304</v>
      </c>
      <c r="C40" s="2" t="s">
        <v>304</v>
      </c>
      <c r="D40" s="2" t="s">
        <v>177</v>
      </c>
      <c r="E40" s="2" t="s">
        <v>253</v>
      </c>
      <c r="F40" s="2" t="s">
        <v>254</v>
      </c>
      <c r="G40" s="2" t="s">
        <v>33</v>
      </c>
      <c r="H40" s="2" t="s">
        <v>22</v>
      </c>
      <c r="I40" s="2" t="s">
        <v>304</v>
      </c>
      <c r="J40" s="2" t="str">
        <f t="shared" si="0"/>
        <v/>
      </c>
      <c r="K40" s="2" t="str">
        <f t="shared" si="1"/>
        <v/>
      </c>
      <c r="L40" s="2" t="s">
        <v>304</v>
      </c>
      <c r="M40" s="2" t="s">
        <v>304</v>
      </c>
      <c r="N40" s="2" t="s">
        <v>304</v>
      </c>
      <c r="O40" s="2" t="s">
        <v>304</v>
      </c>
    </row>
    <row r="41" spans="1:15">
      <c r="A41" s="2" t="s">
        <v>304</v>
      </c>
      <c r="B41" s="2" t="s">
        <v>304</v>
      </c>
      <c r="C41" s="2" t="s">
        <v>304</v>
      </c>
      <c r="D41" s="2" t="s">
        <v>177</v>
      </c>
      <c r="E41" s="2" t="s">
        <v>257</v>
      </c>
      <c r="F41" s="2" t="s">
        <v>258</v>
      </c>
      <c r="G41" s="2" t="s">
        <v>21</v>
      </c>
      <c r="H41" s="2" t="s">
        <v>22</v>
      </c>
      <c r="I41" s="2" t="s">
        <v>304</v>
      </c>
      <c r="J41" s="2" t="str">
        <f t="shared" si="0"/>
        <v/>
      </c>
      <c r="K41" s="2" t="str">
        <f t="shared" si="1"/>
        <v/>
      </c>
      <c r="L41" s="2" t="s">
        <v>304</v>
      </c>
      <c r="M41" s="2" t="s">
        <v>304</v>
      </c>
      <c r="N41" s="2" t="s">
        <v>304</v>
      </c>
      <c r="O41" s="2" t="s">
        <v>304</v>
      </c>
    </row>
    <row r="42" spans="1:15">
      <c r="A42" s="2" t="s">
        <v>304</v>
      </c>
      <c r="B42" s="2" t="s">
        <v>304</v>
      </c>
      <c r="C42" s="2" t="s">
        <v>304</v>
      </c>
      <c r="D42" s="2" t="s">
        <v>177</v>
      </c>
      <c r="E42" s="2" t="s">
        <v>265</v>
      </c>
      <c r="F42" s="2" t="s">
        <v>266</v>
      </c>
      <c r="G42" s="2" t="s">
        <v>21</v>
      </c>
      <c r="H42" s="2" t="s">
        <v>22</v>
      </c>
      <c r="I42" s="2" t="s">
        <v>304</v>
      </c>
      <c r="J42" s="2" t="str">
        <f t="shared" si="0"/>
        <v/>
      </c>
      <c r="K42" s="2" t="str">
        <f t="shared" si="1"/>
        <v/>
      </c>
      <c r="L42" s="2" t="s">
        <v>304</v>
      </c>
      <c r="M42" s="2" t="s">
        <v>304</v>
      </c>
      <c r="N42" s="2" t="s">
        <v>304</v>
      </c>
      <c r="O42" s="2" t="s">
        <v>304</v>
      </c>
    </row>
    <row r="43" spans="1:15">
      <c r="A43" s="2" t="s">
        <v>304</v>
      </c>
      <c r="B43" s="2" t="s">
        <v>304</v>
      </c>
      <c r="C43" s="2" t="s">
        <v>304</v>
      </c>
      <c r="D43" s="2" t="s">
        <v>177</v>
      </c>
      <c r="E43" s="2" t="s">
        <v>273</v>
      </c>
      <c r="F43" s="2" t="s">
        <v>274</v>
      </c>
      <c r="G43" s="2" t="s">
        <v>33</v>
      </c>
      <c r="H43" s="2" t="s">
        <v>34</v>
      </c>
      <c r="I43" s="2" t="s">
        <v>304</v>
      </c>
      <c r="J43" s="2" t="str">
        <f t="shared" si="0"/>
        <v/>
      </c>
      <c r="K43" s="2" t="str">
        <f t="shared" si="1"/>
        <v/>
      </c>
      <c r="L43" s="2" t="s">
        <v>304</v>
      </c>
      <c r="M43" s="2" t="s">
        <v>304</v>
      </c>
      <c r="N43" s="2" t="s">
        <v>304</v>
      </c>
      <c r="O43" s="2" t="s">
        <v>304</v>
      </c>
    </row>
    <row r="44" spans="1:15">
      <c r="A44" s="2" t="s">
        <v>304</v>
      </c>
      <c r="B44" s="2" t="s">
        <v>304</v>
      </c>
      <c r="C44" s="2" t="s">
        <v>304</v>
      </c>
      <c r="D44" s="2" t="s">
        <v>177</v>
      </c>
      <c r="E44" s="2" t="s">
        <v>279</v>
      </c>
      <c r="F44" s="2" t="s">
        <v>280</v>
      </c>
      <c r="G44" s="2" t="s">
        <v>21</v>
      </c>
      <c r="H44" s="2" t="s">
        <v>22</v>
      </c>
      <c r="I44" s="2" t="s">
        <v>304</v>
      </c>
      <c r="J44" s="2" t="str">
        <f t="shared" si="0"/>
        <v/>
      </c>
      <c r="K44" s="2" t="str">
        <f t="shared" si="1"/>
        <v/>
      </c>
      <c r="L44" s="2" t="s">
        <v>304</v>
      </c>
      <c r="M44" s="2" t="s">
        <v>304</v>
      </c>
      <c r="N44" s="2" t="s">
        <v>304</v>
      </c>
      <c r="O44" s="2" t="s">
        <v>304</v>
      </c>
    </row>
    <row r="45" spans="1:15">
      <c r="A45" s="2" t="s">
        <v>304</v>
      </c>
      <c r="B45" s="2" t="s">
        <v>304</v>
      </c>
      <c r="C45" s="2" t="s">
        <v>304</v>
      </c>
      <c r="D45" s="2" t="s">
        <v>177</v>
      </c>
      <c r="E45" s="2" t="s">
        <v>286</v>
      </c>
      <c r="F45" s="2" t="s">
        <v>287</v>
      </c>
      <c r="G45" s="2" t="s">
        <v>33</v>
      </c>
      <c r="H45" s="2" t="s">
        <v>22</v>
      </c>
      <c r="I45" s="2" t="s">
        <v>304</v>
      </c>
      <c r="J45" s="2" t="str">
        <f t="shared" si="0"/>
        <v/>
      </c>
      <c r="K45" s="2" t="str">
        <f t="shared" si="1"/>
        <v/>
      </c>
      <c r="L45" s="2" t="s">
        <v>304</v>
      </c>
      <c r="M45" s="2" t="s">
        <v>304</v>
      </c>
      <c r="N45" s="2" t="s">
        <v>304</v>
      </c>
      <c r="O45" s="2" t="s">
        <v>304</v>
      </c>
    </row>
    <row r="46" spans="1:15">
      <c r="A46" s="2" t="s">
        <v>304</v>
      </c>
      <c r="B46" s="2" t="s">
        <v>304</v>
      </c>
      <c r="C46" s="2" t="s">
        <v>304</v>
      </c>
      <c r="D46" s="2" t="s">
        <v>177</v>
      </c>
      <c r="E46" s="2" t="s">
        <v>289</v>
      </c>
      <c r="F46" s="2" t="s">
        <v>290</v>
      </c>
      <c r="G46" s="2" t="s">
        <v>21</v>
      </c>
      <c r="H46" s="2" t="s">
        <v>34</v>
      </c>
      <c r="I46" s="2" t="s">
        <v>304</v>
      </c>
      <c r="J46" s="2" t="str">
        <f t="shared" si="0"/>
        <v/>
      </c>
      <c r="K46" s="2" t="str">
        <f t="shared" si="1"/>
        <v/>
      </c>
      <c r="L46" s="2" t="s">
        <v>304</v>
      </c>
      <c r="M46" s="2" t="s">
        <v>304</v>
      </c>
      <c r="N46" s="2" t="s">
        <v>304</v>
      </c>
      <c r="O46" s="2" t="s">
        <v>304</v>
      </c>
    </row>
    <row r="47" spans="1:15">
      <c r="A47" s="2" t="s">
        <v>304</v>
      </c>
      <c r="B47" s="2" t="s">
        <v>304</v>
      </c>
      <c r="C47" s="2" t="s">
        <v>304</v>
      </c>
      <c r="D47" s="2" t="s">
        <v>177</v>
      </c>
      <c r="E47" s="2" t="s">
        <v>293</v>
      </c>
      <c r="F47" s="2" t="s">
        <v>294</v>
      </c>
      <c r="G47" s="2" t="s">
        <v>33</v>
      </c>
      <c r="H47" s="2" t="s">
        <v>22</v>
      </c>
      <c r="I47" s="2" t="s">
        <v>304</v>
      </c>
      <c r="J47" s="2" t="str">
        <f t="shared" si="0"/>
        <v/>
      </c>
      <c r="K47" s="2" t="str">
        <f t="shared" si="1"/>
        <v/>
      </c>
      <c r="L47" s="2" t="s">
        <v>304</v>
      </c>
      <c r="M47" s="2" t="s">
        <v>304</v>
      </c>
      <c r="N47" s="2" t="s">
        <v>304</v>
      </c>
      <c r="O47" s="2" t="s">
        <v>304</v>
      </c>
    </row>
    <row r="48" spans="1:15">
      <c r="A48" s="2" t="s">
        <v>304</v>
      </c>
      <c r="B48" s="2" t="s">
        <v>304</v>
      </c>
      <c r="C48" s="2" t="s">
        <v>304</v>
      </c>
      <c r="D48" s="2" t="s">
        <v>177</v>
      </c>
      <c r="E48" s="2" t="s">
        <v>297</v>
      </c>
      <c r="F48" s="2" t="s">
        <v>298</v>
      </c>
      <c r="G48" s="2" t="s">
        <v>33</v>
      </c>
      <c r="H48" s="2" t="s">
        <v>22</v>
      </c>
      <c r="I48" s="2" t="s">
        <v>304</v>
      </c>
      <c r="J48" s="2" t="str">
        <f t="shared" si="0"/>
        <v/>
      </c>
      <c r="K48" s="2" t="str">
        <f t="shared" si="1"/>
        <v/>
      </c>
      <c r="L48" s="2" t="s">
        <v>304</v>
      </c>
      <c r="M48" s="2" t="s">
        <v>304</v>
      </c>
      <c r="N48" s="2" t="s">
        <v>304</v>
      </c>
      <c r="O48" s="2" t="s">
        <v>304</v>
      </c>
    </row>
    <row r="49" spans="1:15">
      <c r="A49" s="2" t="s">
        <v>304</v>
      </c>
      <c r="B49" s="2" t="s">
        <v>304</v>
      </c>
      <c r="C49" s="2" t="s">
        <v>304</v>
      </c>
      <c r="D49" s="2" t="s">
        <v>20</v>
      </c>
      <c r="E49" s="2" t="s">
        <v>300</v>
      </c>
      <c r="F49" s="2" t="s">
        <v>301</v>
      </c>
      <c r="G49" s="2" t="s">
        <v>33</v>
      </c>
      <c r="H49" s="2" t="s">
        <v>22</v>
      </c>
      <c r="I49" s="2" t="s">
        <v>304</v>
      </c>
      <c r="J49" s="2" t="str">
        <f t="shared" si="0"/>
        <v/>
      </c>
      <c r="K49" s="2" t="str">
        <f t="shared" si="1"/>
        <v/>
      </c>
      <c r="L49" s="2" t="s">
        <v>304</v>
      </c>
      <c r="M49" s="2" t="s">
        <v>304</v>
      </c>
      <c r="N49" s="2" t="s">
        <v>304</v>
      </c>
      <c r="O49" s="2" t="s">
        <v>304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题库总表</vt:lpstr>
      <vt:lpstr>实验设计说明</vt:lpstr>
      <vt:lpstr>被试数据记录模板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秀儿</cp:lastModifiedBy>
  <dcterms:created xsi:type="dcterms:W3CDTF">2026-04-19T09:07:00Z</dcterms:created>
  <dcterms:modified xsi:type="dcterms:W3CDTF">2026-04-19T12:40:01Z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3838FCCA83944F17BE7BF0C62C7BC29C_12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